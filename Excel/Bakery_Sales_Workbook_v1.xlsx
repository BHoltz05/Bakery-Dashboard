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ce\Documents\ProjectForWorkExperience\Project1\"/>
    </mc:Choice>
  </mc:AlternateContent>
  <xr:revisionPtr revIDLastSave="0" documentId="13_ncr:1_{08D7DA05-714D-4F58-B12B-982728096396}" xr6:coauthVersionLast="47" xr6:coauthVersionMax="47" xr10:uidLastSave="{00000000-0000-0000-0000-000000000000}"/>
  <bookViews>
    <workbookView xWindow="-120" yWindow="-120" windowWidth="29040" windowHeight="15720" activeTab="4" xr2:uid="{EA6094AD-9291-4C15-B2D4-B92B15BC29B2}"/>
  </bookViews>
  <sheets>
    <sheet name="Logbook" sheetId="2" r:id="rId1"/>
    <sheet name="KPI Summary" sheetId="1" r:id="rId2"/>
    <sheet name="Pivot Tables" sheetId="3" r:id="rId3"/>
    <sheet name="Charts" sheetId="4" r:id="rId4"/>
    <sheet name="Product Analysis" sheetId="6" r:id="rId5"/>
    <sheet name="Waste Analysis" sheetId="7" r:id="rId6"/>
    <sheet name="Revenue Analysis" sheetId="8" r:id="rId7"/>
    <sheet name="Action Summary" sheetId="9" r:id="rId8"/>
    <sheet name="Notes" sheetId="5" r:id="rId9"/>
  </sheet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8" l="1"/>
  <c r="D6" i="8"/>
  <c r="C6" i="8"/>
  <c r="B6" i="8"/>
  <c r="D3" i="8"/>
  <c r="D4" i="8"/>
  <c r="D2" i="8"/>
  <c r="C3" i="8"/>
  <c r="C4" i="8"/>
  <c r="C5" i="8"/>
  <c r="C2" i="8"/>
  <c r="B3" i="8"/>
  <c r="B4" i="8"/>
  <c r="B5" i="8"/>
  <c r="B2" i="8"/>
  <c r="C2" i="7"/>
  <c r="C15" i="7" s="1"/>
  <c r="D15" i="7"/>
  <c r="B15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2" i="7"/>
  <c r="D7" i="7"/>
  <c r="D10" i="7"/>
  <c r="D5" i="7"/>
  <c r="D9" i="7"/>
  <c r="D4" i="7"/>
  <c r="D3" i="7"/>
  <c r="D2" i="7"/>
  <c r="D12" i="7"/>
  <c r="D8" i="7"/>
  <c r="D14" i="7"/>
  <c r="D6" i="7"/>
  <c r="D13" i="7"/>
  <c r="D11" i="7"/>
  <c r="C7" i="7"/>
  <c r="C10" i="7"/>
  <c r="C5" i="7"/>
  <c r="C9" i="7"/>
  <c r="C4" i="7"/>
  <c r="C3" i="7"/>
  <c r="C12" i="7"/>
  <c r="C8" i="7"/>
  <c r="C14" i="7"/>
  <c r="C6" i="7"/>
  <c r="C13" i="7"/>
  <c r="C11" i="7"/>
  <c r="B7" i="7"/>
  <c r="B10" i="7"/>
  <c r="B5" i="7"/>
  <c r="B9" i="7"/>
  <c r="B4" i="7"/>
  <c r="B3" i="7"/>
  <c r="B2" i="7"/>
  <c r="B12" i="7"/>
  <c r="B8" i="7"/>
  <c r="B14" i="7"/>
  <c r="B6" i="7"/>
  <c r="B13" i="7"/>
  <c r="B11" i="7"/>
  <c r="G3" i="6"/>
  <c r="G4" i="6"/>
  <c r="G5" i="6"/>
  <c r="G6" i="6"/>
  <c r="G7" i="6"/>
  <c r="G8" i="6"/>
  <c r="G9" i="6"/>
  <c r="G10" i="6"/>
  <c r="G11" i="6"/>
  <c r="G12" i="6"/>
  <c r="G13" i="6"/>
  <c r="G14" i="6"/>
  <c r="G15" i="6"/>
  <c r="G2" i="6"/>
  <c r="B9" i="1"/>
  <c r="B8" i="1"/>
  <c r="B7" i="1"/>
  <c r="B6" i="1"/>
  <c r="B5" i="1"/>
  <c r="B4" i="1"/>
  <c r="H17" i="1"/>
  <c r="H18" i="1"/>
  <c r="H19" i="1"/>
  <c r="G17" i="1"/>
  <c r="G18" i="1"/>
  <c r="G19" i="1"/>
  <c r="F17" i="1"/>
  <c r="F18" i="1"/>
  <c r="F19" i="1"/>
  <c r="F16" i="1"/>
  <c r="E17" i="1"/>
  <c r="E18" i="1"/>
  <c r="E19" i="1"/>
  <c r="E16" i="1"/>
  <c r="D17" i="1"/>
  <c r="D18" i="1"/>
  <c r="D19" i="1"/>
  <c r="D16" i="1"/>
  <c r="C17" i="1"/>
  <c r="C18" i="1"/>
  <c r="C19" i="1"/>
  <c r="C16" i="1"/>
  <c r="B18" i="1"/>
  <c r="B19" i="1"/>
  <c r="B17" i="1"/>
  <c r="B16" i="1"/>
  <c r="B12" i="1" a="1"/>
  <c r="B12" i="1" s="1"/>
  <c r="B11" i="1" a="1"/>
  <c r="B11" i="1" s="1"/>
  <c r="G16" i="1" l="1"/>
  <c r="H16" i="1"/>
  <c r="B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<sst xmlns="http://schemas.openxmlformats.org/spreadsheetml/2006/main" count="3636" uniqueCount="118">
  <si>
    <t>Week</t>
  </si>
  <si>
    <t>Day</t>
  </si>
  <si>
    <t>Branch</t>
  </si>
  <si>
    <t>Product</t>
  </si>
  <si>
    <t>Category</t>
  </si>
  <si>
    <t>Units Produced</t>
  </si>
  <si>
    <t>Units Sold</t>
  </si>
  <si>
    <t>Waste Units</t>
  </si>
  <si>
    <t>Unit Price</t>
  </si>
  <si>
    <t>Revenue</t>
  </si>
  <si>
    <t>Waste Value</t>
  </si>
  <si>
    <t>Staff Hours Allocated</t>
  </si>
  <si>
    <t>Revenue per Staff Hour</t>
  </si>
  <si>
    <t>Wastage Rate</t>
  </si>
  <si>
    <t>Promo Flag</t>
  </si>
  <si>
    <t>Weather</t>
  </si>
  <si>
    <t>Operational Note</t>
  </si>
  <si>
    <t>Week 1</t>
  </si>
  <si>
    <t>Monday</t>
  </si>
  <si>
    <t>Main Street</t>
  </si>
  <si>
    <t>Croissant</t>
  </si>
  <si>
    <t>Pastry</t>
  </si>
  <si>
    <t>No</t>
  </si>
  <si>
    <t>Cloudy</t>
  </si>
  <si>
    <t>Review production quantity</t>
  </si>
  <si>
    <t>Pain au Chocolat</t>
  </si>
  <si>
    <t>Cinnamon Roll</t>
  </si>
  <si>
    <t>Sourdough Loaf</t>
  </si>
  <si>
    <t>Bread</t>
  </si>
  <si>
    <t>Baguette</t>
  </si>
  <si>
    <t>Rye Loaf</t>
  </si>
  <si>
    <t>Blueberry Muffin</t>
  </si>
  <si>
    <t>Cake</t>
  </si>
  <si>
    <t>Brownie</t>
  </si>
  <si>
    <t>Victoria Sponge Slice</t>
  </si>
  <si>
    <t>Yes</t>
  </si>
  <si>
    <t>Promotion active</t>
  </si>
  <si>
    <t>Coffee</t>
  </si>
  <si>
    <t>Drink</t>
  </si>
  <si>
    <t>Tea</t>
  </si>
  <si>
    <t>Ham &amp; Cheese Sandwich</t>
  </si>
  <si>
    <t>Sandwich</t>
  </si>
  <si>
    <t>Vegan Wrap</t>
  </si>
  <si>
    <t>Riverside</t>
  </si>
  <si>
    <t>Tuesday</t>
  </si>
  <si>
    <t>Wednesday</t>
  </si>
  <si>
    <t>Sunny</t>
  </si>
  <si>
    <t>Strong demand</t>
  </si>
  <si>
    <t>Thursday</t>
  </si>
  <si>
    <t>Rainy</t>
  </si>
  <si>
    <t>Friday</t>
  </si>
  <si>
    <t>Week 2</t>
  </si>
  <si>
    <t>Windy</t>
  </si>
  <si>
    <t>Week 3</t>
  </si>
  <si>
    <t>Week 4</t>
  </si>
  <si>
    <t>Column1</t>
  </si>
  <si>
    <t>Bakery Operations KPI Summary</t>
  </si>
  <si>
    <t>Overall KPIs</t>
  </si>
  <si>
    <t>Total Revenue</t>
  </si>
  <si>
    <t>Total Units Sold</t>
  </si>
  <si>
    <t>Total Units Produced</t>
  </si>
  <si>
    <t>Total Waste Units</t>
  </si>
  <si>
    <t>Total Waste Value</t>
  </si>
  <si>
    <t>Revenue Per Staff Hour</t>
  </si>
  <si>
    <t>Best-selling Product</t>
  </si>
  <si>
    <t>Highest Waste Product</t>
  </si>
  <si>
    <t>Units sold</t>
  </si>
  <si>
    <t>Revenue per staff hour</t>
  </si>
  <si>
    <t>Grand Total</t>
  </si>
  <si>
    <t>Sum of Revenue</t>
  </si>
  <si>
    <t>Revenue by Product</t>
  </si>
  <si>
    <t>Sum of Units Sold</t>
  </si>
  <si>
    <t>Units Sold by Product</t>
  </si>
  <si>
    <t>Sum of Waste Units</t>
  </si>
  <si>
    <t>Waste Units by Product</t>
  </si>
  <si>
    <t>Revenue by Category</t>
  </si>
  <si>
    <t>Revenue by Week</t>
  </si>
  <si>
    <t>Sum of Waste Value</t>
  </si>
  <si>
    <t>Waste Value by Product</t>
  </si>
  <si>
    <t>Workbook purpose</t>
  </si>
  <si>
    <t>Data source</t>
  </si>
  <si>
    <t>Week 1 tasks completed</t>
  </si>
  <si>
    <t>Main KPIs tracked</t>
  </si>
  <si>
    <t>Main findings</t>
  </si>
  <si>
    <t>Next improvements</t>
  </si>
  <si>
    <t>This workbook analyses fictional bakery sales, production, waste and staffing data.</t>
  </si>
  <si>
    <t>Fake bakery operations dataset stored in the Logbook sheet.</t>
  </si>
  <si>
    <t>Created Excel table, calculated KPIs, built pivot tables, created charts.</t>
  </si>
  <si>
    <t>Revenue, units sold, units produced, waste units, waste value, wastage rate, revenue per staff hour.</t>
  </si>
  <si>
    <t>Coffee generated the highest revenue and units sold. Croissants had the highest waste units. Pastry was the highest revenue category.</t>
  </si>
  <si>
    <t>Add more analysis, improve visuals, prepare for Power BI import.</t>
  </si>
  <si>
    <t>Products</t>
  </si>
  <si>
    <t>Total</t>
  </si>
  <si>
    <t>Weeks</t>
  </si>
  <si>
    <t>Finding</t>
  </si>
  <si>
    <t>Evidence</t>
  </si>
  <si>
    <t>Possible Action</t>
  </si>
  <si>
    <t>Coffee is the strongest revenue product</t>
  </si>
  <si>
    <t>Coffee generated the highest total revenue and units sold</t>
  </si>
  <si>
    <t>Maintain stock levels and ensure enough staff support during busy periods</t>
  </si>
  <si>
    <t>Pastry is the highest revenue category</t>
  </si>
  <si>
    <t>Pastry generated the highest category revenue</t>
  </si>
  <si>
    <t>Prioritise pastry production and monitor demand closely</t>
  </si>
  <si>
    <t>Croissant has the highest waste units</t>
  </si>
  <si>
    <t>Croissant had the highest total waste units</t>
  </si>
  <si>
    <t>Review production quantities and reduce overproduction</t>
  </si>
  <si>
    <t>Pain au Chocolat has the highest waste value</t>
  </si>
  <si>
    <t>Pain au Chocolat created the highest waste cost</t>
  </si>
  <si>
    <t>Review pricing, production volume, or promotion strategy</t>
  </si>
  <si>
    <t>Week 4 revenue dropped</t>
  </si>
  <si>
    <t>Revenue by Week shows Week 4 was lower than Weeks 1 to 3</t>
  </si>
  <si>
    <t>Check whether Week 4 has fewer trading days or weaker sales activity</t>
  </si>
  <si>
    <t>Overall wastage rate is around 13.45%</t>
  </si>
  <si>
    <t>Total waste units compared with total units produced</t>
  </si>
  <si>
    <t>Set a target to reduce waste below 12%</t>
  </si>
  <si>
    <t>Revenue per staff hour varies by week</t>
  </si>
  <si>
    <t>Staffing Analysis shows different efficiency levels each week</t>
  </si>
  <si>
    <t>Review staffing allocation against sales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</si>
</sst>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£-809]* #,##0.00_-;\-[$£-809]* #,##0.00_-;_-[$£-809]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10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3">
    <cellStyle name="Currency" xfId="1" builtinId="4"/>
    <cellStyle name="Normal" xfId="0" builtinId="0"/>
    <cellStyle name="Percent" xfId="2" builtinId="5"/>
  </cellStyles>
  <dxfs count="14"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9" formatCode="yyyy/mm/dd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[Bakery_Sales_Workbook_v1.xlsx]Pivot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Tables'!$A$3:$A$16</c:f>
              <c:strCache>
                <c:ptCount val="13"/>
                <c:pt idx="0">
                  <c:v>Coffee</c:v>
                </c:pt>
                <c:pt idx="1">
                  <c:v>Ham &amp; Cheese Sandwich</c:v>
                </c:pt>
                <c:pt idx="2">
                  <c:v>Croissant</c:v>
                </c:pt>
                <c:pt idx="3">
                  <c:v>Pain au Chocolat</c:v>
                </c:pt>
                <c:pt idx="4">
                  <c:v>Sourdough Loaf</c:v>
                </c:pt>
                <c:pt idx="5">
                  <c:v>Vegan Wrap</c:v>
                </c:pt>
                <c:pt idx="6">
                  <c:v>Blueberry Muffin</c:v>
                </c:pt>
                <c:pt idx="7">
                  <c:v>Cinnamon Roll</c:v>
                </c:pt>
                <c:pt idx="8">
                  <c:v>Tea</c:v>
                </c:pt>
                <c:pt idx="9">
                  <c:v>Brownie</c:v>
                </c:pt>
                <c:pt idx="10">
                  <c:v>Baguette</c:v>
                </c:pt>
                <c:pt idx="11">
                  <c:v>Victoria Sponge Slice</c:v>
                </c:pt>
                <c:pt idx="12">
                  <c:v>Rye Loaf</c:v>
                </c:pt>
              </c:strCache>
            </c:strRef>
          </c:cat>
          <c:val>
            <c:numRef>
              <c:f>'Pivot Tables'!$B$3:$B$16</c:f>
              <c:numCache>
                <c:formatCode>_-[$£-809]* #,##0.00_-;\-[$£-809]* #,##0.00_-;_-[$£-809]* "-"??_-;_-@_-</c:formatCode>
                <c:ptCount val="13"/>
                <c:pt idx="0">
                  <c:v>7879.2000000000007</c:v>
                </c:pt>
                <c:pt idx="1">
                  <c:v>5152</c:v>
                </c:pt>
                <c:pt idx="2">
                  <c:v>4790</c:v>
                </c:pt>
                <c:pt idx="3">
                  <c:v>4079.6000000000004</c:v>
                </c:pt>
                <c:pt idx="4">
                  <c:v>4065.5999999999995</c:v>
                </c:pt>
                <c:pt idx="5">
                  <c:v>3628.8</c:v>
                </c:pt>
                <c:pt idx="6">
                  <c:v>3569.8999999999996</c:v>
                </c:pt>
                <c:pt idx="7">
                  <c:v>3549.4999999999991</c:v>
                </c:pt>
                <c:pt idx="8">
                  <c:v>3187.7999999999997</c:v>
                </c:pt>
                <c:pt idx="9">
                  <c:v>3057</c:v>
                </c:pt>
                <c:pt idx="10">
                  <c:v>2960.1</c:v>
                </c:pt>
                <c:pt idx="11">
                  <c:v>2891</c:v>
                </c:pt>
                <c:pt idx="12">
                  <c:v>2614.3999999999996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F-45C5-9123-84858101A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665311"/>
        <c:axId val="371682111"/>
      </c:barChart>
      <c:catAx>
        <c:axId val="37166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682111"/>
        <c:crosses val="autoZero"/>
        <c:auto val="1"/>
        <c:lblAlgn val="ctr"/>
        <c:lblOffset val="100"/>
        <c:noMultiLvlLbl val="0"/>
      </c:catAx>
      <c:valAx>
        <c:axId val="37168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66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[Bakery_Sales_Workbook_v1.xlsx]Pivot 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Units</a:t>
            </a:r>
            <a:r>
              <a:rPr lang="en-GB" baseline="0"/>
              <a:t> Sold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Tables'!$E$20:$E$33</c:f>
              <c:strCache>
                <c:ptCount val="13"/>
                <c:pt idx="0">
                  <c:v>Coffee</c:v>
                </c:pt>
                <c:pt idx="1">
                  <c:v>Croissant</c:v>
                </c:pt>
                <c:pt idx="2">
                  <c:v>Tea</c:v>
                </c:pt>
                <c:pt idx="3">
                  <c:v>Pain au Chocolat</c:v>
                </c:pt>
                <c:pt idx="4">
                  <c:v>Baguette</c:v>
                </c:pt>
                <c:pt idx="5">
                  <c:v>Blueberry Muffin</c:v>
                </c:pt>
                <c:pt idx="6">
                  <c:v>Cinnamon Roll</c:v>
                </c:pt>
                <c:pt idx="7">
                  <c:v>Ham &amp; Cheese Sandwich</c:v>
                </c:pt>
                <c:pt idx="8">
                  <c:v>Brownie</c:v>
                </c:pt>
                <c:pt idx="9">
                  <c:v>Sourdough Loaf</c:v>
                </c:pt>
                <c:pt idx="10">
                  <c:v>Victoria Sponge Slice</c:v>
                </c:pt>
                <c:pt idx="11">
                  <c:v>Vegan Wrap</c:v>
                </c:pt>
                <c:pt idx="12">
                  <c:v>Rye Loaf</c:v>
                </c:pt>
              </c:strCache>
            </c:strRef>
          </c:cat>
          <c:val>
            <c:numRef>
              <c:f>'Pivot Tables'!$F$20:$F$33</c:f>
              <c:numCache>
                <c:formatCode>General</c:formatCode>
                <c:ptCount val="13"/>
                <c:pt idx="0">
                  <c:v>3283</c:v>
                </c:pt>
                <c:pt idx="1">
                  <c:v>1916</c:v>
                </c:pt>
                <c:pt idx="2">
                  <c:v>1771</c:v>
                </c:pt>
                <c:pt idx="3">
                  <c:v>1457</c:v>
                </c:pt>
                <c:pt idx="4">
                  <c:v>1287</c:v>
                </c:pt>
                <c:pt idx="5">
                  <c:v>1231</c:v>
                </c:pt>
                <c:pt idx="6">
                  <c:v>1145</c:v>
                </c:pt>
                <c:pt idx="7">
                  <c:v>1120</c:v>
                </c:pt>
                <c:pt idx="8">
                  <c:v>1019</c:v>
                </c:pt>
                <c:pt idx="9">
                  <c:v>968</c:v>
                </c:pt>
                <c:pt idx="10">
                  <c:v>826</c:v>
                </c:pt>
                <c:pt idx="11">
                  <c:v>756</c:v>
                </c:pt>
                <c:pt idx="12">
                  <c:v>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6-4B7F-8F2D-21D46BCA6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0981519"/>
        <c:axId val="1950978159"/>
      </c:barChart>
      <c:catAx>
        <c:axId val="195098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978159"/>
        <c:crosses val="autoZero"/>
        <c:auto val="1"/>
        <c:lblAlgn val="ctr"/>
        <c:lblOffset val="100"/>
        <c:noMultiLvlLbl val="0"/>
      </c:catAx>
      <c:valAx>
        <c:axId val="195097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98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[Bakery_Sales_Workbook_v1.xlsx]Pivot Tables!PivotTable3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Waste Units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Tables'!$A$20:$A$33</c:f>
              <c:strCache>
                <c:ptCount val="13"/>
                <c:pt idx="0">
                  <c:v>Croissant</c:v>
                </c:pt>
                <c:pt idx="1">
                  <c:v>Pain au Chocolat</c:v>
                </c:pt>
                <c:pt idx="2">
                  <c:v>Coffee</c:v>
                </c:pt>
                <c:pt idx="3">
                  <c:v>Cinnamon Roll</c:v>
                </c:pt>
                <c:pt idx="4">
                  <c:v>Blueberry Muffin</c:v>
                </c:pt>
                <c:pt idx="5">
                  <c:v>Baguette</c:v>
                </c:pt>
                <c:pt idx="6">
                  <c:v>Brownie</c:v>
                </c:pt>
                <c:pt idx="7">
                  <c:v>Ham &amp; Cheese Sandwich</c:v>
                </c:pt>
                <c:pt idx="8">
                  <c:v>Sourdough Loaf</c:v>
                </c:pt>
                <c:pt idx="9">
                  <c:v>Vegan Wrap</c:v>
                </c:pt>
                <c:pt idx="10">
                  <c:v>Rye Loaf</c:v>
                </c:pt>
                <c:pt idx="11">
                  <c:v>Victoria Sponge Slice</c:v>
                </c:pt>
                <c:pt idx="12">
                  <c:v>Tea</c:v>
                </c:pt>
              </c:strCache>
            </c:strRef>
          </c:cat>
          <c:val>
            <c:numRef>
              <c:f>'Pivot Tables'!$B$20:$B$33</c:f>
              <c:numCache>
                <c:formatCode>General</c:formatCode>
                <c:ptCount val="13"/>
                <c:pt idx="0">
                  <c:v>315</c:v>
                </c:pt>
                <c:pt idx="1">
                  <c:v>301</c:v>
                </c:pt>
                <c:pt idx="2">
                  <c:v>273</c:v>
                </c:pt>
                <c:pt idx="3">
                  <c:v>250</c:v>
                </c:pt>
                <c:pt idx="4">
                  <c:v>236</c:v>
                </c:pt>
                <c:pt idx="5">
                  <c:v>234</c:v>
                </c:pt>
                <c:pt idx="6">
                  <c:v>203</c:v>
                </c:pt>
                <c:pt idx="7">
                  <c:v>182</c:v>
                </c:pt>
                <c:pt idx="8">
                  <c:v>162</c:v>
                </c:pt>
                <c:pt idx="9">
                  <c:v>149</c:v>
                </c:pt>
                <c:pt idx="10">
                  <c:v>139</c:v>
                </c:pt>
                <c:pt idx="11">
                  <c:v>135</c:v>
                </c:pt>
                <c:pt idx="12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7-4BEF-B796-C8A0B87BC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5315119"/>
        <c:axId val="1805315599"/>
      </c:barChart>
      <c:catAx>
        <c:axId val="180531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315599"/>
        <c:crosses val="autoZero"/>
        <c:auto val="1"/>
        <c:lblAlgn val="ctr"/>
        <c:lblOffset val="100"/>
        <c:noMultiLvlLbl val="0"/>
      </c:catAx>
      <c:valAx>
        <c:axId val="180531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31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[Bakery_Sales_Workbook_v1.xlsx]Pivot Tables!PivotTable5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by Week</a:t>
            </a:r>
          </a:p>
          <a:p>
            <a:pPr>
              <a:defRPr/>
            </a:pPr>
            <a:endParaRPr lang="en-GB"/>
          </a:p>
        </c:rich>
      </c:tx>
      <c:layout>
        <c:manualLayout>
          <c:xMode val="edge"/>
          <c:yMode val="edge"/>
          <c:x val="0.35665966754155731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Tables'!$F$11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Tables'!$E$12:$E$16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'Pivot Tables'!$F$12:$F$16</c:f>
              <c:numCache>
                <c:formatCode>_-[$£-809]* #,##0.00_-;\-[$£-809]* #,##0.00_-;_-[$£-809]* "-"??_-;_-@_-</c:formatCode>
                <c:ptCount val="4"/>
                <c:pt idx="0">
                  <c:v>14453.400000000005</c:v>
                </c:pt>
                <c:pt idx="1">
                  <c:v>14725.499999999996</c:v>
                </c:pt>
                <c:pt idx="2">
                  <c:v>14276.9</c:v>
                </c:pt>
                <c:pt idx="3">
                  <c:v>7969.0999999999985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45-4703-B643-E9B577AFF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7464031"/>
        <c:axId val="2116349599"/>
      </c:lineChart>
      <c:catAx>
        <c:axId val="191746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349599"/>
        <c:crosses val="autoZero"/>
        <c:auto val="1"/>
        <c:lblAlgn val="ctr"/>
        <c:lblOffset val="100"/>
        <c:noMultiLvlLbl val="0"/>
      </c:catAx>
      <c:valAx>
        <c:axId val="211634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46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2</xdr:row>
      <xdr:rowOff>0</xdr:rowOff>
    </xdr:from>
    <xdr:to>
      <xdr:col>10</xdr:col>
      <xdr:colOff>504825</xdr:colOff>
      <xdr:row>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890F57-EE10-4F8B-82CB-3DC835504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20</xdr:col>
      <xdr:colOff>285749</xdr:colOff>
      <xdr:row>16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8BD579-7AE1-4E64-B080-1CAF3DCBCE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28574</xdr:colOff>
      <xdr:row>18</xdr:row>
      <xdr:rowOff>0</xdr:rowOff>
    </xdr:from>
    <xdr:to>
      <xdr:col>9</xdr:col>
      <xdr:colOff>323849</xdr:colOff>
      <xdr:row>32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F4F429-624C-4196-86E8-146149952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600074</xdr:colOff>
      <xdr:row>18</xdr:row>
      <xdr:rowOff>0</xdr:rowOff>
    </xdr:from>
    <xdr:to>
      <xdr:col>20</xdr:col>
      <xdr:colOff>190499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D646F5-CA14-4D52-AE40-A99ECCC17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ce holtzhausen" refreshedDate="46168.731393865739" createdVersion="8" refreshedVersion="8" minRefreshableVersion="3" recordCount="468" xr:uid="{20491DB2-80A5-4CB2-A50B-2FD98974395E}">
  <cacheSource type="worksheet">
    <worksheetSource name="BakeryLog"/>
  </cacheSource>
  <cacheFields count="18">
    <cacheField name="Column1" numFmtId="14">
      <sharedItems containsSemiMixedTypes="0" containsNonDate="0" containsDate="1" containsString="0" minDate="2026-05-25T00:00:00" maxDate="2026-06-18T00:00:00"/>
    </cacheField>
    <cacheField name="Week" numFmtId="0">
      <sharedItems count="4">
        <s v="Week 1"/>
        <s v="Week 2"/>
        <s v="Week 3"/>
        <s v="Week 4"/>
      </sharedItems>
    </cacheField>
    <cacheField name="Day" numFmtId="0">
      <sharedItems/>
    </cacheField>
    <cacheField name="Branch" numFmtId="0">
      <sharedItems/>
    </cacheField>
    <cacheField name="Product" numFmtId="0">
      <sharedItems count="13">
        <s v="Croissant"/>
        <s v="Pain au Chocolat"/>
        <s v="Cinnamon Roll"/>
        <s v="Sourdough Loaf"/>
        <s v="Baguette"/>
        <s v="Rye Loaf"/>
        <s v="Blueberry Muffin"/>
        <s v="Brownie"/>
        <s v="Victoria Sponge Slice"/>
        <s v="Coffee"/>
        <s v="Tea"/>
        <s v="Ham &amp; Cheese Sandwich"/>
        <s v="Vegan Wrap"/>
      </sharedItems>
    </cacheField>
    <cacheField name="Category" numFmtId="0">
      <sharedItems count="5">
        <s v="Pastry"/>
        <s v="Bread"/>
        <s v="Cake"/>
        <s v="Drink"/>
        <s v="Sandwich"/>
      </sharedItems>
    </cacheField>
    <cacheField name="Units Produced" numFmtId="0">
      <sharedItems containsSemiMixedTypes="0" containsString="0" containsNumber="1" containsInteger="1" minValue="15" maxValue="149"/>
    </cacheField>
    <cacheField name="Units Sold" numFmtId="0">
      <sharedItems containsSemiMixedTypes="0" containsString="0" containsNumber="1" containsInteger="1" minValue="12" maxValue="141"/>
    </cacheField>
    <cacheField name="Waste Units" numFmtId="0">
      <sharedItems containsSemiMixedTypes="0" containsString="0" containsNumber="1" containsInteger="1" minValue="0" maxValue="24"/>
    </cacheField>
    <cacheField name="Unit Price" numFmtId="0">
      <sharedItems containsSemiMixedTypes="0" containsString="0" containsNumber="1" minValue="1.8" maxValue="4.8"/>
    </cacheField>
    <cacheField name="Revenue" numFmtId="0">
      <sharedItems containsSemiMixedTypes="0" containsString="0" containsNumber="1" minValue="45.6" maxValue="338.4" count="216">
        <n v="120"/>
        <n v="100.8"/>
        <n v="99.2"/>
        <n v="109.2"/>
        <n v="73.599999999999994"/>
        <n v="64.599999999999994"/>
        <n v="89.9"/>
        <n v="87"/>
        <n v="87.5"/>
        <n v="216"/>
        <n v="79.2"/>
        <n v="128.80000000000001"/>
        <n v="91.2"/>
        <n v="115"/>
        <n v="84"/>
        <n v="80.599999999999994"/>
        <n v="75.599999999999994"/>
        <n v="71.3"/>
        <n v="53.2"/>
        <n v="72.5"/>
        <n v="72"/>
        <n v="63"/>
        <n v="172.8"/>
        <n v="64.8"/>
        <n v="76.8"/>
        <n v="132.5"/>
        <n v="111.6"/>
        <n v="121.8"/>
        <n v="75.900000000000006"/>
        <n v="79.8"/>
        <n v="110.2"/>
        <n v="78"/>
        <n v="80.5"/>
        <n v="218.4"/>
        <n v="82.8"/>
        <n v="161"/>
        <n v="95"/>
        <n v="98"/>
        <n v="74.400000000000006"/>
        <n v="62.1"/>
        <n v="60.8"/>
        <n v="59.5"/>
        <n v="177.6"/>
        <n v="86.4"/>
        <n v="152.5"/>
        <n v="156.80000000000001"/>
        <n v="120.9"/>
        <n v="134.4"/>
        <n v="108.1"/>
        <n v="87.4"/>
        <n v="102"/>
        <n v="112"/>
        <n v="244.8"/>
        <n v="174.8"/>
        <n v="144"/>
        <n v="127.5"/>
        <n v="103.6"/>
        <n v="102.3"/>
        <n v="105"/>
        <n v="72.2"/>
        <n v="75"/>
        <n v="66.5"/>
        <n v="228"/>
        <n v="73.8"/>
        <n v="156.4"/>
        <n v="122.5"/>
        <n v="137.19999999999999"/>
        <n v="92"/>
        <n v="96"/>
        <n v="91"/>
        <n v="273.60000000000002"/>
        <n v="90"/>
        <n v="147.19999999999999"/>
        <n v="107.5"/>
        <n v="86.8"/>
        <n v="77.5"/>
        <n v="88.2"/>
        <n v="69.599999999999994"/>
        <n v="158.4"/>
        <n v="105.8"/>
        <n v="190"/>
        <n v="136.4"/>
        <n v="155.4"/>
        <n v="124.2"/>
        <n v="125.4"/>
        <n v="139.19999999999999"/>
        <n v="126"/>
        <n v="115.5"/>
        <n v="285.60000000000002"/>
        <n v="115.2"/>
        <n v="202.4"/>
        <n v="157.5"/>
        <n v="114.7"/>
        <n v="142.80000000000001"/>
        <n v="85.1"/>
        <n v="83.6"/>
        <n v="98.6"/>
        <n v="112.5"/>
        <n v="69"/>
        <n v="78.3"/>
        <n v="201.6"/>
        <n v="85"/>
        <n v="81.2"/>
        <n v="65.099999999999994"/>
        <n v="71.400000000000006"/>
        <n v="59.8"/>
        <n v="45.6"/>
        <n v="54"/>
        <n v="56"/>
        <n v="156"/>
        <n v="96.6"/>
        <n v="67.2"/>
        <n v="95.2"/>
        <n v="78.2"/>
        <n v="68.400000000000006"/>
        <n v="206.4"/>
        <n v="97.5"/>
        <n v="89.6"/>
        <n v="83.7"/>
        <n v="92.4"/>
        <n v="66"/>
        <n v="180"/>
        <n v="110.4"/>
        <n v="137.5"/>
        <n v="117.6"/>
        <n v="117.8"/>
        <n v="101.2"/>
        <n v="116"/>
        <n v="93"/>
        <n v="240"/>
        <n v="104.4"/>
        <n v="70"/>
        <n v="187.2"/>
        <n v="177.5"/>
        <n v="98.8"/>
        <n v="114"/>
        <n v="302.39999999999998"/>
        <n v="124.8"/>
        <n v="125"/>
        <n v="89.7"/>
        <n v="225.6"/>
        <n v="93.6"/>
        <n v="105.6"/>
        <n v="242.5"/>
        <n v="184.8"/>
        <n v="133.30000000000001"/>
        <n v="176.4"/>
        <n v="159.5"/>
        <n v="117"/>
        <n v="108.5"/>
        <n v="338.4"/>
        <n v="153"/>
        <n v="211.6"/>
        <n v="163.19999999999999"/>
        <n v="127.1"/>
        <n v="106.2"/>
        <n v="129.6"/>
        <n v="57"/>
        <n v="66.599999999999994"/>
        <n v="81.599999999999994"/>
        <n v="63.8"/>
        <n v="51"/>
        <n v="49"/>
        <n v="136.80000000000001"/>
        <n v="61.2"/>
        <n v="62.4"/>
        <n v="142.5"/>
        <n v="120.4"/>
        <n v="76"/>
        <n v="92.8"/>
        <n v="213.6"/>
        <n v="97.2"/>
        <n v="106.4"/>
        <n v="170"/>
        <n v="123.2"/>
        <n v="130.19999999999999"/>
        <n v="127.6"/>
        <n v="99"/>
        <n v="204"/>
        <n v="133.4"/>
        <n v="182.5"/>
        <n v="151.19999999999999"/>
        <n v="113.1"/>
        <n v="94.5"/>
        <n v="271.2"/>
        <n v="108"/>
        <n v="145"/>
        <n v="101.5"/>
        <n v="81"/>
        <n v="142.6"/>
        <n v="187.5"/>
        <n v="131.6"/>
        <n v="150.80000000000001"/>
        <n v="123"/>
        <n v="276"/>
        <n v="184"/>
        <n v="105.4"/>
        <n v="113.4"/>
        <n v="91.8"/>
        <n v="70.2"/>
        <n v="52.9"/>
        <n v="49.4"/>
        <n v="66.7"/>
        <n v="153.6"/>
        <n v="57.6"/>
        <n v="150"/>
        <n v="235.2"/>
        <n v="151.80000000000001"/>
        <n v="84.1"/>
        <n v="182.4"/>
        <n v="103.5"/>
        <n v="280.8"/>
        <n v="114.8"/>
        <n v="211.2"/>
        <n v="77.400000000000006"/>
        <n v="138"/>
      </sharedItems>
    </cacheField>
    <cacheField name="Waste Value" numFmtId="0">
      <sharedItems containsSemiMixedTypes="0" containsString="0" containsNumber="1" minValue="0" maxValue="60"/>
    </cacheField>
    <cacheField name="Staff Hours Allocated" numFmtId="0">
      <sharedItems containsSemiMixedTypes="0" containsString="0" containsNumber="1" minValue="0.68" maxValue="4.95"/>
    </cacheField>
    <cacheField name="Revenue per Staff Hour" numFmtId="0">
      <sharedItems containsSemiMixedTypes="0" containsString="0" containsNumber="1" minValue="21.84" maxValue="126.67"/>
    </cacheField>
    <cacheField name="Wastage Rate" numFmtId="0">
      <sharedItems containsSemiMixedTypes="0" containsString="0" containsNumber="1" minValue="0" maxValue="0.29549999999999998"/>
    </cacheField>
    <cacheField name="Promo Flag" numFmtId="0">
      <sharedItems/>
    </cacheField>
    <cacheField name="Weather" numFmtId="0">
      <sharedItems/>
    </cacheField>
    <cacheField name="Operational 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8">
  <r>
    <d v="2026-05-25T00:00:00"/>
    <x v="0"/>
    <s v="Monday"/>
    <s v="Main Street"/>
    <x v="0"/>
    <x v="0"/>
    <n v="58"/>
    <n v="48"/>
    <n v="10"/>
    <n v="2.5"/>
    <x v="0"/>
    <n v="25"/>
    <n v="2.88"/>
    <n v="41.67"/>
    <n v="0.1724"/>
    <s v="No"/>
    <s v="Cloudy"/>
    <s v="Review production quantity"/>
  </r>
  <r>
    <d v="2026-05-25T00:00:00"/>
    <x v="0"/>
    <s v="Monday"/>
    <s v="Main Street"/>
    <x v="1"/>
    <x v="0"/>
    <n v="50"/>
    <n v="36"/>
    <n v="14"/>
    <n v="2.8"/>
    <x v="1"/>
    <n v="39.200000000000003"/>
    <n v="2.4300000000000002"/>
    <n v="41.48"/>
    <n v="0.28000000000000003"/>
    <s v="No"/>
    <s v="Cloudy"/>
    <s v="Review production quantity"/>
  </r>
  <r>
    <d v="2026-05-25T00:00:00"/>
    <x v="0"/>
    <s v="Monday"/>
    <s v="Main Street"/>
    <x v="2"/>
    <x v="0"/>
    <n v="36"/>
    <n v="32"/>
    <n v="4"/>
    <n v="3.1"/>
    <x v="2"/>
    <n v="12.4"/>
    <n v="1.68"/>
    <n v="59.05"/>
    <n v="0.1111"/>
    <s v="No"/>
    <s v="Cloudy"/>
    <m/>
  </r>
  <r>
    <d v="2026-05-25T00:00:00"/>
    <x v="0"/>
    <s v="Monday"/>
    <s v="Main Street"/>
    <x v="3"/>
    <x v="1"/>
    <n v="32"/>
    <n v="26"/>
    <n v="6"/>
    <n v="4.2"/>
    <x v="3"/>
    <n v="25.2"/>
    <n v="2.36"/>
    <n v="46.27"/>
    <n v="0.1875"/>
    <s v="No"/>
    <s v="Cloudy"/>
    <m/>
  </r>
  <r>
    <d v="2026-05-25T00:00:00"/>
    <x v="0"/>
    <s v="Monday"/>
    <s v="Main Street"/>
    <x v="4"/>
    <x v="1"/>
    <n v="44"/>
    <n v="32"/>
    <n v="12"/>
    <n v="2.2999999999999998"/>
    <x v="4"/>
    <n v="27.6"/>
    <n v="3.37"/>
    <n v="21.84"/>
    <n v="0.2727"/>
    <s v="No"/>
    <s v="Cloudy"/>
    <s v="Review production quantity"/>
  </r>
  <r>
    <d v="2026-05-25T00:00:00"/>
    <x v="0"/>
    <s v="Monday"/>
    <s v="Main Street"/>
    <x v="5"/>
    <x v="1"/>
    <n v="21"/>
    <n v="17"/>
    <n v="4"/>
    <n v="3.8"/>
    <x v="5"/>
    <n v="15.2"/>
    <n v="1.81"/>
    <n v="35.69"/>
    <n v="0.1905"/>
    <s v="No"/>
    <s v="Cloudy"/>
    <m/>
  </r>
  <r>
    <d v="2026-05-25T00:00:00"/>
    <x v="0"/>
    <s v="Monday"/>
    <s v="Main Street"/>
    <x v="6"/>
    <x v="2"/>
    <n v="37"/>
    <n v="31"/>
    <n v="6"/>
    <n v="2.9"/>
    <x v="6"/>
    <n v="17.399999999999999"/>
    <n v="2.15"/>
    <n v="41.81"/>
    <n v="0.16220000000000001"/>
    <s v="No"/>
    <s v="Cloudy"/>
    <m/>
  </r>
  <r>
    <d v="2026-05-25T00:00:00"/>
    <x v="0"/>
    <s v="Monday"/>
    <s v="Main Street"/>
    <x v="7"/>
    <x v="2"/>
    <n v="35"/>
    <n v="29"/>
    <n v="6"/>
    <n v="3"/>
    <x v="7"/>
    <n v="18"/>
    <n v="1.96"/>
    <n v="44.39"/>
    <n v="0.1714"/>
    <s v="No"/>
    <s v="Cloudy"/>
    <m/>
  </r>
  <r>
    <d v="2026-05-25T00:00:00"/>
    <x v="0"/>
    <s v="Monday"/>
    <s v="Main Street"/>
    <x v="8"/>
    <x v="2"/>
    <n v="29"/>
    <n v="25"/>
    <n v="4"/>
    <n v="3.5"/>
    <x v="8"/>
    <n v="14"/>
    <n v="1.75"/>
    <n v="50"/>
    <n v="0.13789999999999999"/>
    <s v="Yes"/>
    <s v="Cloudy"/>
    <s v="Promotion active"/>
  </r>
  <r>
    <d v="2026-05-25T00:00:00"/>
    <x v="0"/>
    <s v="Monday"/>
    <s v="Main Street"/>
    <x v="9"/>
    <x v="3"/>
    <n v="100"/>
    <n v="90"/>
    <n v="10"/>
    <n v="2.4"/>
    <x v="9"/>
    <n v="24"/>
    <n v="2.06"/>
    <n v="104.85"/>
    <n v="0.1"/>
    <s v="No"/>
    <s v="Cloudy"/>
    <m/>
  </r>
  <r>
    <d v="2026-05-25T00:00:00"/>
    <x v="0"/>
    <s v="Monday"/>
    <s v="Main Street"/>
    <x v="10"/>
    <x v="3"/>
    <n v="48"/>
    <n v="44"/>
    <n v="4"/>
    <n v="1.8"/>
    <x v="10"/>
    <n v="7.2"/>
    <n v="0.94"/>
    <n v="84.26"/>
    <n v="8.3299999999999999E-2"/>
    <s v="No"/>
    <s v="Cloudy"/>
    <m/>
  </r>
  <r>
    <d v="2026-05-25T00:00:00"/>
    <x v="0"/>
    <s v="Monday"/>
    <s v="Main Street"/>
    <x v="11"/>
    <x v="4"/>
    <n v="33"/>
    <n v="28"/>
    <n v="5"/>
    <n v="4.5999999999999996"/>
    <x v="11"/>
    <n v="23"/>
    <n v="2.2200000000000002"/>
    <n v="58.02"/>
    <n v="0.1515"/>
    <s v="No"/>
    <s v="Cloudy"/>
    <m/>
  </r>
  <r>
    <d v="2026-05-25T00:00:00"/>
    <x v="0"/>
    <s v="Monday"/>
    <s v="Main Street"/>
    <x v="12"/>
    <x v="4"/>
    <n v="24"/>
    <n v="19"/>
    <n v="5"/>
    <n v="4.8"/>
    <x v="12"/>
    <n v="24"/>
    <n v="1.57"/>
    <n v="58.09"/>
    <n v="0.20830000000000001"/>
    <s v="No"/>
    <s v="Cloudy"/>
    <m/>
  </r>
  <r>
    <d v="2026-05-25T00:00:00"/>
    <x v="0"/>
    <s v="Monday"/>
    <s v="Riverside"/>
    <x v="0"/>
    <x v="0"/>
    <n v="55"/>
    <n v="46"/>
    <n v="9"/>
    <n v="2.5"/>
    <x v="13"/>
    <n v="22.5"/>
    <n v="2.58"/>
    <n v="44.57"/>
    <n v="0.1636"/>
    <s v="Yes"/>
    <s v="Cloudy"/>
    <s v="Promotion active"/>
  </r>
  <r>
    <d v="2026-05-25T00:00:00"/>
    <x v="0"/>
    <s v="Monday"/>
    <s v="Riverside"/>
    <x v="1"/>
    <x v="0"/>
    <n v="34"/>
    <n v="30"/>
    <n v="4"/>
    <n v="2.8"/>
    <x v="14"/>
    <n v="11.2"/>
    <n v="1.88"/>
    <n v="44.68"/>
    <n v="0.1176"/>
    <s v="No"/>
    <s v="Cloudy"/>
    <m/>
  </r>
  <r>
    <d v="2026-05-25T00:00:00"/>
    <x v="0"/>
    <s v="Monday"/>
    <s v="Riverside"/>
    <x v="2"/>
    <x v="0"/>
    <n v="30"/>
    <n v="26"/>
    <n v="4"/>
    <n v="3.1"/>
    <x v="15"/>
    <n v="12.4"/>
    <n v="1.65"/>
    <n v="48.85"/>
    <n v="0.1333"/>
    <s v="No"/>
    <s v="Cloudy"/>
    <m/>
  </r>
  <r>
    <d v="2026-05-25T00:00:00"/>
    <x v="0"/>
    <s v="Monday"/>
    <s v="Riverside"/>
    <x v="3"/>
    <x v="1"/>
    <n v="23"/>
    <n v="18"/>
    <n v="5"/>
    <n v="4.2"/>
    <x v="16"/>
    <n v="21"/>
    <n v="1.75"/>
    <n v="43.2"/>
    <n v="0.21740000000000001"/>
    <s v="No"/>
    <s v="Cloudy"/>
    <m/>
  </r>
  <r>
    <d v="2026-05-25T00:00:00"/>
    <x v="0"/>
    <s v="Monday"/>
    <s v="Riverside"/>
    <x v="4"/>
    <x v="1"/>
    <n v="31"/>
    <n v="31"/>
    <n v="0"/>
    <n v="2.2999999999999998"/>
    <x v="17"/>
    <n v="0"/>
    <n v="2.48"/>
    <n v="28.75"/>
    <n v="0"/>
    <s v="No"/>
    <s v="Cloudy"/>
    <m/>
  </r>
  <r>
    <d v="2026-05-25T00:00:00"/>
    <x v="0"/>
    <s v="Monday"/>
    <s v="Riverside"/>
    <x v="5"/>
    <x v="1"/>
    <n v="18"/>
    <n v="14"/>
    <n v="4"/>
    <n v="3.8"/>
    <x v="18"/>
    <n v="15.2"/>
    <n v="1.58"/>
    <n v="33.67"/>
    <n v="0.22220000000000001"/>
    <s v="No"/>
    <s v="Cloudy"/>
    <m/>
  </r>
  <r>
    <d v="2026-05-25T00:00:00"/>
    <x v="0"/>
    <s v="Monday"/>
    <s v="Riverside"/>
    <x v="6"/>
    <x v="2"/>
    <n v="30"/>
    <n v="25"/>
    <n v="5"/>
    <n v="2.9"/>
    <x v="19"/>
    <n v="14.5"/>
    <n v="1.72"/>
    <n v="42.15"/>
    <n v="0.16669999999999999"/>
    <s v="No"/>
    <s v="Cloudy"/>
    <m/>
  </r>
  <r>
    <d v="2026-05-25T00:00:00"/>
    <x v="0"/>
    <s v="Monday"/>
    <s v="Riverside"/>
    <x v="7"/>
    <x v="2"/>
    <n v="26"/>
    <n v="24"/>
    <n v="2"/>
    <n v="3"/>
    <x v="20"/>
    <n v="6"/>
    <n v="1.47"/>
    <n v="48.98"/>
    <n v="7.6899999999999996E-2"/>
    <s v="No"/>
    <s v="Cloudy"/>
    <m/>
  </r>
  <r>
    <d v="2026-05-25T00:00:00"/>
    <x v="0"/>
    <s v="Monday"/>
    <s v="Riverside"/>
    <x v="8"/>
    <x v="2"/>
    <n v="23"/>
    <n v="18"/>
    <n v="5"/>
    <n v="3.5"/>
    <x v="21"/>
    <n v="17.5"/>
    <n v="1.23"/>
    <n v="51.22"/>
    <n v="0.21740000000000001"/>
    <s v="No"/>
    <s v="Cloudy"/>
    <m/>
  </r>
  <r>
    <d v="2026-05-25T00:00:00"/>
    <x v="0"/>
    <s v="Monday"/>
    <s v="Riverside"/>
    <x v="9"/>
    <x v="3"/>
    <n v="74"/>
    <n v="72"/>
    <n v="2"/>
    <n v="2.4"/>
    <x v="22"/>
    <n v="4.8"/>
    <n v="1.62"/>
    <n v="106.67"/>
    <n v="2.7E-2"/>
    <s v="No"/>
    <s v="Cloudy"/>
    <m/>
  </r>
  <r>
    <d v="2026-05-25T00:00:00"/>
    <x v="0"/>
    <s v="Monday"/>
    <s v="Riverside"/>
    <x v="10"/>
    <x v="3"/>
    <n v="38"/>
    <n v="36"/>
    <n v="2"/>
    <n v="1.8"/>
    <x v="23"/>
    <n v="3.6"/>
    <n v="1.03"/>
    <n v="62.91"/>
    <n v="5.2600000000000001E-2"/>
    <s v="No"/>
    <s v="Cloudy"/>
    <m/>
  </r>
  <r>
    <d v="2026-05-25T00:00:00"/>
    <x v="0"/>
    <s v="Monday"/>
    <s v="Riverside"/>
    <x v="11"/>
    <x v="4"/>
    <n v="30"/>
    <n v="25"/>
    <n v="5"/>
    <n v="4.5999999999999996"/>
    <x v="13"/>
    <n v="23"/>
    <n v="1.85"/>
    <n v="62.16"/>
    <n v="0.16669999999999999"/>
    <s v="No"/>
    <s v="Cloudy"/>
    <m/>
  </r>
  <r>
    <d v="2026-05-25T00:00:00"/>
    <x v="0"/>
    <s v="Monday"/>
    <s v="Riverside"/>
    <x v="12"/>
    <x v="4"/>
    <n v="20"/>
    <n v="16"/>
    <n v="4"/>
    <n v="4.8"/>
    <x v="24"/>
    <n v="19.2"/>
    <n v="1.33"/>
    <n v="57.74"/>
    <n v="0.2"/>
    <s v="No"/>
    <s v="Cloudy"/>
    <m/>
  </r>
  <r>
    <d v="2026-05-26T00:00:00"/>
    <x v="0"/>
    <s v="Tuesday"/>
    <s v="Main Street"/>
    <x v="0"/>
    <x v="0"/>
    <n v="63"/>
    <n v="53"/>
    <n v="10"/>
    <n v="2.5"/>
    <x v="25"/>
    <n v="25"/>
    <n v="3.17"/>
    <n v="41.8"/>
    <n v="0.15870000000000001"/>
    <s v="No"/>
    <s v="Cloudy"/>
    <s v="Review production quantity"/>
  </r>
  <r>
    <d v="2026-05-26T00:00:00"/>
    <x v="0"/>
    <s v="Tuesday"/>
    <s v="Main Street"/>
    <x v="1"/>
    <x v="0"/>
    <n v="52"/>
    <n v="46"/>
    <n v="6"/>
    <n v="2.8"/>
    <x v="11"/>
    <n v="16.8"/>
    <n v="2.44"/>
    <n v="52.79"/>
    <n v="0.1154"/>
    <s v="Yes"/>
    <s v="Cloudy"/>
    <s v="Promotion active"/>
  </r>
  <r>
    <d v="2026-05-26T00:00:00"/>
    <x v="0"/>
    <s v="Tuesday"/>
    <s v="Main Street"/>
    <x v="2"/>
    <x v="0"/>
    <n v="47"/>
    <n v="36"/>
    <n v="11"/>
    <n v="3.1"/>
    <x v="26"/>
    <n v="34.1"/>
    <n v="2.36"/>
    <n v="47.29"/>
    <n v="0.23400000000000001"/>
    <s v="Yes"/>
    <s v="Cloudy"/>
    <s v="Review production quantity"/>
  </r>
  <r>
    <d v="2026-05-26T00:00:00"/>
    <x v="0"/>
    <s v="Tuesday"/>
    <s v="Main Street"/>
    <x v="3"/>
    <x v="1"/>
    <n v="30"/>
    <n v="29"/>
    <n v="1"/>
    <n v="4.2"/>
    <x v="27"/>
    <n v="4.2"/>
    <n v="2.31"/>
    <n v="52.73"/>
    <n v="3.3300000000000003E-2"/>
    <s v="No"/>
    <s v="Cloudy"/>
    <m/>
  </r>
  <r>
    <d v="2026-05-26T00:00:00"/>
    <x v="0"/>
    <s v="Tuesday"/>
    <s v="Main Street"/>
    <x v="4"/>
    <x v="1"/>
    <n v="44"/>
    <n v="33"/>
    <n v="11"/>
    <n v="2.2999999999999998"/>
    <x v="28"/>
    <n v="25.3"/>
    <n v="3.23"/>
    <n v="23.5"/>
    <n v="0.25"/>
    <s v="No"/>
    <s v="Cloudy"/>
    <s v="Review production quantity"/>
  </r>
  <r>
    <d v="2026-05-26T00:00:00"/>
    <x v="0"/>
    <s v="Tuesday"/>
    <s v="Main Street"/>
    <x v="5"/>
    <x v="1"/>
    <n v="25"/>
    <n v="21"/>
    <n v="4"/>
    <n v="3.8"/>
    <x v="29"/>
    <n v="15.2"/>
    <n v="2.0499999999999998"/>
    <n v="38.93"/>
    <n v="0.16"/>
    <s v="No"/>
    <s v="Cloudy"/>
    <m/>
  </r>
  <r>
    <d v="2026-05-26T00:00:00"/>
    <x v="0"/>
    <s v="Tuesday"/>
    <s v="Main Street"/>
    <x v="6"/>
    <x v="2"/>
    <n v="38"/>
    <n v="38"/>
    <n v="0"/>
    <n v="2.9"/>
    <x v="30"/>
    <n v="0"/>
    <n v="2.23"/>
    <n v="49.42"/>
    <n v="0"/>
    <s v="No"/>
    <s v="Cloudy"/>
    <m/>
  </r>
  <r>
    <d v="2026-05-26T00:00:00"/>
    <x v="0"/>
    <s v="Tuesday"/>
    <s v="Main Street"/>
    <x v="7"/>
    <x v="2"/>
    <n v="35"/>
    <n v="26"/>
    <n v="9"/>
    <n v="3"/>
    <x v="31"/>
    <n v="27"/>
    <n v="2.0299999999999998"/>
    <n v="38.42"/>
    <n v="0.2571"/>
    <s v="No"/>
    <s v="Cloudy"/>
    <m/>
  </r>
  <r>
    <d v="2026-05-26T00:00:00"/>
    <x v="0"/>
    <s v="Tuesday"/>
    <s v="Main Street"/>
    <x v="8"/>
    <x v="2"/>
    <n v="26"/>
    <n v="23"/>
    <n v="3"/>
    <n v="3.5"/>
    <x v="32"/>
    <n v="10.5"/>
    <n v="1.51"/>
    <n v="53.31"/>
    <n v="0.1154"/>
    <s v="No"/>
    <s v="Cloudy"/>
    <m/>
  </r>
  <r>
    <d v="2026-05-26T00:00:00"/>
    <x v="0"/>
    <s v="Tuesday"/>
    <s v="Main Street"/>
    <x v="9"/>
    <x v="3"/>
    <n v="103"/>
    <n v="91"/>
    <n v="12"/>
    <n v="2.4"/>
    <x v="33"/>
    <n v="28.8"/>
    <n v="1.97"/>
    <n v="110.86"/>
    <n v="0.11650000000000001"/>
    <s v="No"/>
    <s v="Cloudy"/>
    <m/>
  </r>
  <r>
    <d v="2026-05-26T00:00:00"/>
    <x v="0"/>
    <s v="Tuesday"/>
    <s v="Main Street"/>
    <x v="10"/>
    <x v="3"/>
    <n v="52"/>
    <n v="46"/>
    <n v="6"/>
    <n v="1.8"/>
    <x v="34"/>
    <n v="10.8"/>
    <n v="1.08"/>
    <n v="76.67"/>
    <n v="0.1154"/>
    <s v="No"/>
    <s v="Cloudy"/>
    <m/>
  </r>
  <r>
    <d v="2026-05-26T00:00:00"/>
    <x v="0"/>
    <s v="Tuesday"/>
    <s v="Main Street"/>
    <x v="11"/>
    <x v="4"/>
    <n v="43"/>
    <n v="35"/>
    <n v="8"/>
    <n v="4.5999999999999996"/>
    <x v="35"/>
    <n v="36.799999999999997"/>
    <n v="2.79"/>
    <n v="57.71"/>
    <n v="0.186"/>
    <s v="Yes"/>
    <s v="Cloudy"/>
    <s v="Promotion active"/>
  </r>
  <r>
    <d v="2026-05-26T00:00:00"/>
    <x v="0"/>
    <s v="Tuesday"/>
    <s v="Main Street"/>
    <x v="12"/>
    <x v="4"/>
    <n v="24"/>
    <n v="21"/>
    <n v="3"/>
    <n v="4.8"/>
    <x v="1"/>
    <n v="14.4"/>
    <n v="1.67"/>
    <n v="60.36"/>
    <n v="0.125"/>
    <s v="No"/>
    <s v="Cloudy"/>
    <m/>
  </r>
  <r>
    <d v="2026-05-26T00:00:00"/>
    <x v="0"/>
    <s v="Tuesday"/>
    <s v="Riverside"/>
    <x v="0"/>
    <x v="0"/>
    <n v="47"/>
    <n v="38"/>
    <n v="9"/>
    <n v="2.5"/>
    <x v="36"/>
    <n v="22.5"/>
    <n v="2.35"/>
    <n v="40.43"/>
    <n v="0.1915"/>
    <s v="No"/>
    <s v="Cloudy"/>
    <m/>
  </r>
  <r>
    <d v="2026-05-26T00:00:00"/>
    <x v="0"/>
    <s v="Tuesday"/>
    <s v="Riverside"/>
    <x v="1"/>
    <x v="0"/>
    <n v="41"/>
    <n v="35"/>
    <n v="6"/>
    <n v="2.8"/>
    <x v="37"/>
    <n v="16.8"/>
    <n v="1.92"/>
    <n v="51.04"/>
    <n v="0.14630000000000001"/>
    <s v="No"/>
    <s v="Cloudy"/>
    <m/>
  </r>
  <r>
    <d v="2026-05-26T00:00:00"/>
    <x v="0"/>
    <s v="Tuesday"/>
    <s v="Riverside"/>
    <x v="2"/>
    <x v="0"/>
    <n v="32"/>
    <n v="24"/>
    <n v="8"/>
    <n v="3.1"/>
    <x v="38"/>
    <n v="24.8"/>
    <n v="1.53"/>
    <n v="48.63"/>
    <n v="0.25"/>
    <s v="No"/>
    <s v="Cloudy"/>
    <m/>
  </r>
  <r>
    <d v="2026-05-26T00:00:00"/>
    <x v="0"/>
    <s v="Tuesday"/>
    <s v="Riverside"/>
    <x v="3"/>
    <x v="1"/>
    <n v="29"/>
    <n v="24"/>
    <n v="5"/>
    <n v="4.2"/>
    <x v="1"/>
    <n v="21"/>
    <n v="2.3199999999999998"/>
    <n v="43.45"/>
    <n v="0.1724"/>
    <s v="Yes"/>
    <s v="Cloudy"/>
    <s v="Promotion active"/>
  </r>
  <r>
    <d v="2026-05-26T00:00:00"/>
    <x v="0"/>
    <s v="Tuesday"/>
    <s v="Riverside"/>
    <x v="4"/>
    <x v="1"/>
    <n v="33"/>
    <n v="27"/>
    <n v="6"/>
    <n v="2.2999999999999998"/>
    <x v="39"/>
    <n v="13.8"/>
    <n v="2.4900000000000002"/>
    <n v="24.94"/>
    <n v="0.18179999999999999"/>
    <s v="No"/>
    <s v="Cloudy"/>
    <m/>
  </r>
  <r>
    <d v="2026-05-26T00:00:00"/>
    <x v="0"/>
    <s v="Tuesday"/>
    <s v="Riverside"/>
    <x v="5"/>
    <x v="1"/>
    <n v="18"/>
    <n v="16"/>
    <n v="2"/>
    <n v="3.8"/>
    <x v="40"/>
    <n v="7.6"/>
    <n v="1.51"/>
    <n v="40.26"/>
    <n v="0.1111"/>
    <s v="No"/>
    <s v="Cloudy"/>
    <m/>
  </r>
  <r>
    <d v="2026-05-26T00:00:00"/>
    <x v="0"/>
    <s v="Tuesday"/>
    <s v="Riverside"/>
    <x v="6"/>
    <x v="2"/>
    <n v="34"/>
    <n v="30"/>
    <n v="4"/>
    <n v="2.9"/>
    <x v="7"/>
    <n v="11.6"/>
    <n v="1.85"/>
    <n v="47.03"/>
    <n v="0.1176"/>
    <s v="Yes"/>
    <s v="Cloudy"/>
    <s v="Promotion active"/>
  </r>
  <r>
    <d v="2026-05-26T00:00:00"/>
    <x v="0"/>
    <s v="Tuesday"/>
    <s v="Riverside"/>
    <x v="7"/>
    <x v="2"/>
    <n v="29"/>
    <n v="24"/>
    <n v="5"/>
    <n v="3"/>
    <x v="20"/>
    <n v="15"/>
    <n v="1.63"/>
    <n v="44.17"/>
    <n v="0.1724"/>
    <s v="Yes"/>
    <s v="Cloudy"/>
    <s v="Promotion active"/>
  </r>
  <r>
    <d v="2026-05-26T00:00:00"/>
    <x v="0"/>
    <s v="Tuesday"/>
    <s v="Riverside"/>
    <x v="8"/>
    <x v="2"/>
    <n v="21"/>
    <n v="17"/>
    <n v="4"/>
    <n v="3.5"/>
    <x v="41"/>
    <n v="14"/>
    <n v="1.38"/>
    <n v="43.12"/>
    <n v="0.1905"/>
    <s v="No"/>
    <s v="Cloudy"/>
    <m/>
  </r>
  <r>
    <d v="2026-05-26T00:00:00"/>
    <x v="0"/>
    <s v="Tuesday"/>
    <s v="Riverside"/>
    <x v="9"/>
    <x v="3"/>
    <n v="82"/>
    <n v="74"/>
    <n v="8"/>
    <n v="2.4"/>
    <x v="42"/>
    <n v="19.2"/>
    <n v="1.54"/>
    <n v="115.32"/>
    <n v="9.7600000000000006E-2"/>
    <s v="No"/>
    <s v="Cloudy"/>
    <m/>
  </r>
  <r>
    <d v="2026-05-26T00:00:00"/>
    <x v="0"/>
    <s v="Tuesday"/>
    <s v="Riverside"/>
    <x v="10"/>
    <x v="3"/>
    <n v="51"/>
    <n v="48"/>
    <n v="3"/>
    <n v="1.8"/>
    <x v="43"/>
    <n v="5.4"/>
    <n v="1.25"/>
    <n v="69.12"/>
    <n v="5.8799999999999998E-2"/>
    <s v="Yes"/>
    <s v="Cloudy"/>
    <s v="Promotion active"/>
  </r>
  <r>
    <d v="2026-05-26T00:00:00"/>
    <x v="0"/>
    <s v="Tuesday"/>
    <s v="Riverside"/>
    <x v="11"/>
    <x v="4"/>
    <n v="27"/>
    <n v="25"/>
    <n v="2"/>
    <n v="4.5999999999999996"/>
    <x v="13"/>
    <n v="9.1999999999999993"/>
    <n v="1.73"/>
    <n v="66.47"/>
    <n v="7.4099999999999999E-2"/>
    <s v="No"/>
    <s v="Cloudy"/>
    <m/>
  </r>
  <r>
    <d v="2026-05-26T00:00:00"/>
    <x v="0"/>
    <s v="Tuesday"/>
    <s v="Riverside"/>
    <x v="12"/>
    <x v="4"/>
    <n v="18"/>
    <n v="16"/>
    <n v="2"/>
    <n v="4.8"/>
    <x v="24"/>
    <n v="9.6"/>
    <n v="1.43"/>
    <n v="53.71"/>
    <n v="0.1111"/>
    <s v="No"/>
    <s v="Cloudy"/>
    <m/>
  </r>
  <r>
    <d v="2026-05-27T00:00:00"/>
    <x v="0"/>
    <s v="Wednesday"/>
    <s v="Main Street"/>
    <x v="0"/>
    <x v="0"/>
    <n v="73"/>
    <n v="61"/>
    <n v="12"/>
    <n v="2.5"/>
    <x v="44"/>
    <n v="30"/>
    <n v="3.62"/>
    <n v="42.13"/>
    <n v="0.16439999999999999"/>
    <s v="No"/>
    <s v="Sunny"/>
    <s v="Review production quantity"/>
  </r>
  <r>
    <d v="2026-05-27T00:00:00"/>
    <x v="0"/>
    <s v="Wednesday"/>
    <s v="Main Street"/>
    <x v="1"/>
    <x v="0"/>
    <n v="63"/>
    <n v="56"/>
    <n v="7"/>
    <n v="2.8"/>
    <x v="45"/>
    <n v="19.600000000000001"/>
    <n v="2.93"/>
    <n v="53.52"/>
    <n v="0.1111"/>
    <s v="Yes"/>
    <s v="Sunny"/>
    <s v="Strong demand"/>
  </r>
  <r>
    <d v="2026-05-27T00:00:00"/>
    <x v="0"/>
    <s v="Wednesday"/>
    <s v="Main Street"/>
    <x v="2"/>
    <x v="0"/>
    <n v="49"/>
    <n v="39"/>
    <n v="10"/>
    <n v="3.1"/>
    <x v="46"/>
    <n v="31"/>
    <n v="2.42"/>
    <n v="49.96"/>
    <n v="0.2041"/>
    <s v="No"/>
    <s v="Sunny"/>
    <s v="Review production quantity"/>
  </r>
  <r>
    <d v="2026-05-27T00:00:00"/>
    <x v="0"/>
    <s v="Wednesday"/>
    <s v="Main Street"/>
    <x v="3"/>
    <x v="1"/>
    <n v="34"/>
    <n v="32"/>
    <n v="2"/>
    <n v="4.2"/>
    <x v="47"/>
    <n v="8.4"/>
    <n v="2.58"/>
    <n v="52.09"/>
    <n v="5.8799999999999998E-2"/>
    <s v="No"/>
    <s v="Sunny"/>
    <m/>
  </r>
  <r>
    <d v="2026-05-27T00:00:00"/>
    <x v="0"/>
    <s v="Wednesday"/>
    <s v="Main Street"/>
    <x v="4"/>
    <x v="1"/>
    <n v="47"/>
    <n v="47"/>
    <n v="0"/>
    <n v="2.2999999999999998"/>
    <x v="48"/>
    <n v="0"/>
    <n v="3.36"/>
    <n v="32.17"/>
    <n v="0"/>
    <s v="No"/>
    <s v="Sunny"/>
    <m/>
  </r>
  <r>
    <d v="2026-05-27T00:00:00"/>
    <x v="0"/>
    <s v="Wednesday"/>
    <s v="Main Street"/>
    <x v="5"/>
    <x v="1"/>
    <n v="27"/>
    <n v="23"/>
    <n v="4"/>
    <n v="3.8"/>
    <x v="49"/>
    <n v="15.2"/>
    <n v="2.0099999999999998"/>
    <n v="43.48"/>
    <n v="0.14810000000000001"/>
    <s v="No"/>
    <s v="Sunny"/>
    <m/>
  </r>
  <r>
    <d v="2026-05-27T00:00:00"/>
    <x v="0"/>
    <s v="Wednesday"/>
    <s v="Main Street"/>
    <x v="6"/>
    <x v="2"/>
    <n v="51"/>
    <n v="38"/>
    <n v="13"/>
    <n v="2.9"/>
    <x v="30"/>
    <n v="37.700000000000003"/>
    <n v="2.78"/>
    <n v="39.64"/>
    <n v="0.25490000000000002"/>
    <s v="No"/>
    <s v="Sunny"/>
    <s v="Review production quantity"/>
  </r>
  <r>
    <d v="2026-05-27T00:00:00"/>
    <x v="0"/>
    <s v="Wednesday"/>
    <s v="Main Street"/>
    <x v="7"/>
    <x v="2"/>
    <n v="39"/>
    <n v="34"/>
    <n v="5"/>
    <n v="3"/>
    <x v="50"/>
    <n v="15"/>
    <n v="2.16"/>
    <n v="47.22"/>
    <n v="0.12820000000000001"/>
    <s v="No"/>
    <s v="Sunny"/>
    <m/>
  </r>
  <r>
    <d v="2026-05-27T00:00:00"/>
    <x v="0"/>
    <s v="Wednesday"/>
    <s v="Main Street"/>
    <x v="8"/>
    <x v="2"/>
    <n v="34"/>
    <n v="32"/>
    <n v="2"/>
    <n v="3.5"/>
    <x v="51"/>
    <n v="7"/>
    <n v="1.82"/>
    <n v="61.54"/>
    <n v="5.8799999999999998E-2"/>
    <s v="Yes"/>
    <s v="Sunny"/>
    <s v="Strong demand"/>
  </r>
  <r>
    <d v="2026-05-27T00:00:00"/>
    <x v="0"/>
    <s v="Wednesday"/>
    <s v="Main Street"/>
    <x v="9"/>
    <x v="3"/>
    <n v="115"/>
    <n v="102"/>
    <n v="13"/>
    <n v="2.4"/>
    <x v="52"/>
    <n v="31.2"/>
    <n v="2.21"/>
    <n v="110.77"/>
    <n v="0.113"/>
    <s v="No"/>
    <s v="Sunny"/>
    <m/>
  </r>
  <r>
    <d v="2026-05-27T00:00:00"/>
    <x v="0"/>
    <s v="Wednesday"/>
    <s v="Main Street"/>
    <x v="10"/>
    <x v="3"/>
    <n v="58"/>
    <n v="56"/>
    <n v="2"/>
    <n v="1.8"/>
    <x v="1"/>
    <n v="3.6"/>
    <n v="1.39"/>
    <n v="72.52"/>
    <n v="3.4500000000000003E-2"/>
    <s v="No"/>
    <s v="Sunny"/>
    <m/>
  </r>
  <r>
    <d v="2026-05-27T00:00:00"/>
    <x v="0"/>
    <s v="Wednesday"/>
    <s v="Main Street"/>
    <x v="11"/>
    <x v="4"/>
    <n v="44"/>
    <n v="38"/>
    <n v="6"/>
    <n v="4.5999999999999996"/>
    <x v="53"/>
    <n v="27.6"/>
    <n v="2.77"/>
    <n v="63.1"/>
    <n v="0.13639999999999999"/>
    <s v="Yes"/>
    <s v="Sunny"/>
    <s v="Promotion active"/>
  </r>
  <r>
    <d v="2026-05-27T00:00:00"/>
    <x v="0"/>
    <s v="Wednesday"/>
    <s v="Main Street"/>
    <x v="12"/>
    <x v="4"/>
    <n v="35"/>
    <n v="30"/>
    <n v="5"/>
    <n v="4.8"/>
    <x v="54"/>
    <n v="24"/>
    <n v="2.2599999999999998"/>
    <n v="63.72"/>
    <n v="0.1429"/>
    <s v="Yes"/>
    <s v="Sunny"/>
    <s v="Strong demand"/>
  </r>
  <r>
    <d v="2026-05-27T00:00:00"/>
    <x v="0"/>
    <s v="Wednesday"/>
    <s v="Riverside"/>
    <x v="0"/>
    <x v="0"/>
    <n v="61"/>
    <n v="51"/>
    <n v="10"/>
    <n v="2.5"/>
    <x v="55"/>
    <n v="25"/>
    <n v="2.98"/>
    <n v="42.79"/>
    <n v="0.16389999999999999"/>
    <s v="No"/>
    <s v="Sunny"/>
    <s v="Review production quantity"/>
  </r>
  <r>
    <d v="2026-05-27T00:00:00"/>
    <x v="0"/>
    <s v="Wednesday"/>
    <s v="Riverside"/>
    <x v="1"/>
    <x v="0"/>
    <n v="51"/>
    <n v="37"/>
    <n v="14"/>
    <n v="2.8"/>
    <x v="56"/>
    <n v="39.200000000000003"/>
    <n v="2.59"/>
    <n v="40"/>
    <n v="0.27450000000000002"/>
    <s v="Yes"/>
    <s v="Sunny"/>
    <s v="Review production quantity"/>
  </r>
  <r>
    <d v="2026-05-27T00:00:00"/>
    <x v="0"/>
    <s v="Wednesday"/>
    <s v="Riverside"/>
    <x v="2"/>
    <x v="0"/>
    <n v="37"/>
    <n v="33"/>
    <n v="4"/>
    <n v="3.1"/>
    <x v="57"/>
    <n v="12.4"/>
    <n v="1.76"/>
    <n v="58.12"/>
    <n v="0.1081"/>
    <s v="No"/>
    <s v="Sunny"/>
    <m/>
  </r>
  <r>
    <d v="2026-05-27T00:00:00"/>
    <x v="0"/>
    <s v="Wednesday"/>
    <s v="Riverside"/>
    <x v="3"/>
    <x v="1"/>
    <n v="27"/>
    <n v="25"/>
    <n v="2"/>
    <n v="4.2"/>
    <x v="58"/>
    <n v="8.4"/>
    <n v="2.02"/>
    <n v="51.98"/>
    <n v="7.4099999999999999E-2"/>
    <s v="No"/>
    <s v="Sunny"/>
    <m/>
  </r>
  <r>
    <d v="2026-05-27T00:00:00"/>
    <x v="0"/>
    <s v="Wednesday"/>
    <s v="Riverside"/>
    <x v="4"/>
    <x v="1"/>
    <n v="41"/>
    <n v="31"/>
    <n v="10"/>
    <n v="2.2999999999999998"/>
    <x v="17"/>
    <n v="23"/>
    <n v="3.11"/>
    <n v="22.93"/>
    <n v="0.24390000000000001"/>
    <s v="No"/>
    <s v="Sunny"/>
    <s v="Review production quantity"/>
  </r>
  <r>
    <d v="2026-05-27T00:00:00"/>
    <x v="0"/>
    <s v="Wednesday"/>
    <s v="Riverside"/>
    <x v="5"/>
    <x v="1"/>
    <n v="21"/>
    <n v="19"/>
    <n v="2"/>
    <n v="3.8"/>
    <x v="59"/>
    <n v="7.6"/>
    <n v="1.77"/>
    <n v="40.79"/>
    <n v="9.5200000000000007E-2"/>
    <s v="No"/>
    <s v="Sunny"/>
    <m/>
  </r>
  <r>
    <d v="2026-05-27T00:00:00"/>
    <x v="0"/>
    <s v="Wednesday"/>
    <s v="Riverside"/>
    <x v="6"/>
    <x v="2"/>
    <n v="37"/>
    <n v="30"/>
    <n v="7"/>
    <n v="2.9"/>
    <x v="7"/>
    <n v="20.3"/>
    <n v="1.9"/>
    <n v="45.79"/>
    <n v="0.18920000000000001"/>
    <s v="No"/>
    <s v="Sunny"/>
    <m/>
  </r>
  <r>
    <d v="2026-05-27T00:00:00"/>
    <x v="0"/>
    <s v="Wednesday"/>
    <s v="Riverside"/>
    <x v="7"/>
    <x v="2"/>
    <n v="32"/>
    <n v="25"/>
    <n v="7"/>
    <n v="3"/>
    <x v="60"/>
    <n v="21"/>
    <n v="1.87"/>
    <n v="40.11"/>
    <n v="0.21879999999999999"/>
    <s v="No"/>
    <s v="Sunny"/>
    <m/>
  </r>
  <r>
    <d v="2026-05-27T00:00:00"/>
    <x v="0"/>
    <s v="Wednesday"/>
    <s v="Riverside"/>
    <x v="8"/>
    <x v="2"/>
    <n v="25"/>
    <n v="19"/>
    <n v="6"/>
    <n v="3.5"/>
    <x v="61"/>
    <n v="21"/>
    <n v="1.32"/>
    <n v="50.38"/>
    <n v="0.24"/>
    <s v="No"/>
    <s v="Sunny"/>
    <m/>
  </r>
  <r>
    <d v="2026-05-27T00:00:00"/>
    <x v="0"/>
    <s v="Wednesday"/>
    <s v="Riverside"/>
    <x v="9"/>
    <x v="3"/>
    <n v="106"/>
    <n v="95"/>
    <n v="11"/>
    <n v="2.4"/>
    <x v="62"/>
    <n v="26.4"/>
    <n v="2.21"/>
    <n v="103.17"/>
    <n v="0.1038"/>
    <s v="Yes"/>
    <s v="Sunny"/>
    <s v="Promotion active"/>
  </r>
  <r>
    <d v="2026-05-27T00:00:00"/>
    <x v="0"/>
    <s v="Wednesday"/>
    <s v="Riverside"/>
    <x v="10"/>
    <x v="3"/>
    <n v="45"/>
    <n v="41"/>
    <n v="4"/>
    <n v="1.8"/>
    <x v="63"/>
    <n v="7.2"/>
    <n v="0.95"/>
    <n v="77.680000000000007"/>
    <n v="8.8900000000000007E-2"/>
    <s v="No"/>
    <s v="Sunny"/>
    <m/>
  </r>
  <r>
    <d v="2026-05-27T00:00:00"/>
    <x v="0"/>
    <s v="Wednesday"/>
    <s v="Riverside"/>
    <x v="11"/>
    <x v="4"/>
    <n v="39"/>
    <n v="34"/>
    <n v="5"/>
    <n v="4.5999999999999996"/>
    <x v="64"/>
    <n v="23"/>
    <n v="2.66"/>
    <n v="58.8"/>
    <n v="0.12820000000000001"/>
    <s v="Yes"/>
    <s v="Sunny"/>
    <s v="Strong demand"/>
  </r>
  <r>
    <d v="2026-05-27T00:00:00"/>
    <x v="0"/>
    <s v="Wednesday"/>
    <s v="Riverside"/>
    <x v="12"/>
    <x v="4"/>
    <n v="22"/>
    <n v="18"/>
    <n v="4"/>
    <n v="4.8"/>
    <x v="43"/>
    <n v="19.2"/>
    <n v="1.6"/>
    <n v="54"/>
    <n v="0.18179999999999999"/>
    <s v="No"/>
    <s v="Sunny"/>
    <m/>
  </r>
  <r>
    <d v="2026-05-28T00:00:00"/>
    <x v="0"/>
    <s v="Thursday"/>
    <s v="Main Street"/>
    <x v="0"/>
    <x v="0"/>
    <n v="65"/>
    <n v="49"/>
    <n v="16"/>
    <n v="2.5"/>
    <x v="65"/>
    <n v="40"/>
    <n v="3.25"/>
    <n v="37.69"/>
    <n v="0.2462"/>
    <s v="No"/>
    <s v="Rainy"/>
    <s v="Review production quantity"/>
  </r>
  <r>
    <d v="2026-05-28T00:00:00"/>
    <x v="0"/>
    <s v="Thursday"/>
    <s v="Main Street"/>
    <x v="1"/>
    <x v="0"/>
    <n v="59"/>
    <n v="49"/>
    <n v="10"/>
    <n v="2.8"/>
    <x v="66"/>
    <n v="28"/>
    <n v="2.97"/>
    <n v="46.2"/>
    <n v="0.16950000000000001"/>
    <s v="Yes"/>
    <s v="Rainy"/>
    <s v="Review production quantity"/>
  </r>
  <r>
    <d v="2026-05-28T00:00:00"/>
    <x v="0"/>
    <s v="Thursday"/>
    <s v="Main Street"/>
    <x v="2"/>
    <x v="0"/>
    <n v="41"/>
    <n v="32"/>
    <n v="9"/>
    <n v="3.1"/>
    <x v="2"/>
    <n v="27.9"/>
    <n v="2.17"/>
    <n v="45.71"/>
    <n v="0.2195"/>
    <s v="No"/>
    <s v="Rainy"/>
    <m/>
  </r>
  <r>
    <d v="2026-05-28T00:00:00"/>
    <x v="0"/>
    <s v="Thursday"/>
    <s v="Main Street"/>
    <x v="3"/>
    <x v="1"/>
    <n v="34"/>
    <n v="29"/>
    <n v="5"/>
    <n v="4.2"/>
    <x v="27"/>
    <n v="21"/>
    <n v="2.5099999999999998"/>
    <n v="48.53"/>
    <n v="0.14710000000000001"/>
    <s v="No"/>
    <s v="Rainy"/>
    <m/>
  </r>
  <r>
    <d v="2026-05-28T00:00:00"/>
    <x v="0"/>
    <s v="Thursday"/>
    <s v="Main Street"/>
    <x v="4"/>
    <x v="1"/>
    <n v="41"/>
    <n v="40"/>
    <n v="1"/>
    <n v="2.2999999999999998"/>
    <x v="67"/>
    <n v="2.2999999999999998"/>
    <n v="3.18"/>
    <n v="28.93"/>
    <n v="2.4400000000000002E-2"/>
    <s v="No"/>
    <s v="Rainy"/>
    <m/>
  </r>
  <r>
    <d v="2026-05-28T00:00:00"/>
    <x v="0"/>
    <s v="Thursday"/>
    <s v="Main Street"/>
    <x v="5"/>
    <x v="1"/>
    <n v="24"/>
    <n v="19"/>
    <n v="5"/>
    <n v="3.8"/>
    <x v="59"/>
    <n v="19"/>
    <n v="1.82"/>
    <n v="39.67"/>
    <n v="0.20830000000000001"/>
    <s v="No"/>
    <s v="Rainy"/>
    <m/>
  </r>
  <r>
    <d v="2026-05-28T00:00:00"/>
    <x v="0"/>
    <s v="Thursday"/>
    <s v="Main Street"/>
    <x v="6"/>
    <x v="2"/>
    <n v="39"/>
    <n v="31"/>
    <n v="8"/>
    <n v="2.9"/>
    <x v="6"/>
    <n v="23.2"/>
    <n v="2.06"/>
    <n v="43.64"/>
    <n v="0.2051"/>
    <s v="No"/>
    <s v="Rainy"/>
    <m/>
  </r>
  <r>
    <d v="2026-05-28T00:00:00"/>
    <x v="0"/>
    <s v="Thursday"/>
    <s v="Main Street"/>
    <x v="7"/>
    <x v="2"/>
    <n v="37"/>
    <n v="32"/>
    <n v="5"/>
    <n v="3"/>
    <x v="68"/>
    <n v="15"/>
    <n v="1.98"/>
    <n v="48.48"/>
    <n v="0.1351"/>
    <s v="No"/>
    <s v="Rainy"/>
    <m/>
  </r>
  <r>
    <d v="2026-05-28T00:00:00"/>
    <x v="0"/>
    <s v="Thursday"/>
    <s v="Main Street"/>
    <x v="8"/>
    <x v="2"/>
    <n v="27"/>
    <n v="26"/>
    <n v="1"/>
    <n v="3.5"/>
    <x v="69"/>
    <n v="3.5"/>
    <n v="1.56"/>
    <n v="58.33"/>
    <n v="3.6999999999999998E-2"/>
    <s v="No"/>
    <s v="Rainy"/>
    <m/>
  </r>
  <r>
    <d v="2026-05-28T00:00:00"/>
    <x v="0"/>
    <s v="Thursday"/>
    <s v="Main Street"/>
    <x v="9"/>
    <x v="3"/>
    <n v="114"/>
    <n v="114"/>
    <n v="0"/>
    <n v="2.4"/>
    <x v="70"/>
    <n v="0"/>
    <n v="2.16"/>
    <n v="126.67"/>
    <n v="0"/>
    <s v="Yes"/>
    <s v="Rainy"/>
    <s v="Promotion active"/>
  </r>
  <r>
    <d v="2026-05-28T00:00:00"/>
    <x v="0"/>
    <s v="Thursday"/>
    <s v="Main Street"/>
    <x v="10"/>
    <x v="3"/>
    <n v="55"/>
    <n v="50"/>
    <n v="5"/>
    <n v="1.8"/>
    <x v="71"/>
    <n v="9"/>
    <n v="1.17"/>
    <n v="76.92"/>
    <n v="9.0899999999999995E-2"/>
    <s v="Yes"/>
    <s v="Rainy"/>
    <s v="Promotion active"/>
  </r>
  <r>
    <d v="2026-05-28T00:00:00"/>
    <x v="0"/>
    <s v="Thursday"/>
    <s v="Main Street"/>
    <x v="11"/>
    <x v="4"/>
    <n v="36"/>
    <n v="32"/>
    <n v="4"/>
    <n v="4.5999999999999996"/>
    <x v="72"/>
    <n v="18.399999999999999"/>
    <n v="2.36"/>
    <n v="62.37"/>
    <n v="0.1111"/>
    <s v="No"/>
    <s v="Rainy"/>
    <m/>
  </r>
  <r>
    <d v="2026-05-28T00:00:00"/>
    <x v="0"/>
    <s v="Thursday"/>
    <s v="Main Street"/>
    <x v="12"/>
    <x v="4"/>
    <n v="26"/>
    <n v="20"/>
    <n v="6"/>
    <n v="4.8"/>
    <x v="68"/>
    <n v="28.8"/>
    <n v="1.82"/>
    <n v="52.75"/>
    <n v="0.23080000000000001"/>
    <s v="No"/>
    <s v="Rainy"/>
    <m/>
  </r>
  <r>
    <d v="2026-05-28T00:00:00"/>
    <x v="0"/>
    <s v="Thursday"/>
    <s v="Riverside"/>
    <x v="0"/>
    <x v="0"/>
    <n v="54"/>
    <n v="43"/>
    <n v="11"/>
    <n v="2.5"/>
    <x v="73"/>
    <n v="27.5"/>
    <n v="2.7"/>
    <n v="39.81"/>
    <n v="0.20369999999999999"/>
    <s v="No"/>
    <s v="Rainy"/>
    <s v="Review production quantity"/>
  </r>
  <r>
    <d v="2026-05-28T00:00:00"/>
    <x v="0"/>
    <s v="Thursday"/>
    <s v="Riverside"/>
    <x v="1"/>
    <x v="0"/>
    <n v="39"/>
    <n v="31"/>
    <n v="8"/>
    <n v="2.8"/>
    <x v="74"/>
    <n v="22.4"/>
    <n v="1.83"/>
    <n v="47.43"/>
    <n v="0.2051"/>
    <s v="No"/>
    <s v="Rainy"/>
    <m/>
  </r>
  <r>
    <d v="2026-05-28T00:00:00"/>
    <x v="0"/>
    <s v="Thursday"/>
    <s v="Riverside"/>
    <x v="2"/>
    <x v="0"/>
    <n v="30"/>
    <n v="25"/>
    <n v="5"/>
    <n v="3.1"/>
    <x v="75"/>
    <n v="15.5"/>
    <n v="1.65"/>
    <n v="46.97"/>
    <n v="0.16669999999999999"/>
    <s v="No"/>
    <s v="Rainy"/>
    <m/>
  </r>
  <r>
    <d v="2026-05-28T00:00:00"/>
    <x v="0"/>
    <s v="Thursday"/>
    <s v="Riverside"/>
    <x v="3"/>
    <x v="1"/>
    <n v="24"/>
    <n v="21"/>
    <n v="3"/>
    <n v="4.2"/>
    <x v="76"/>
    <n v="12.6"/>
    <n v="1.85"/>
    <n v="47.68"/>
    <n v="0.125"/>
    <s v="No"/>
    <s v="Rainy"/>
    <m/>
  </r>
  <r>
    <d v="2026-05-28T00:00:00"/>
    <x v="0"/>
    <s v="Thursday"/>
    <s v="Riverside"/>
    <x v="4"/>
    <x v="1"/>
    <n v="33"/>
    <n v="27"/>
    <n v="6"/>
    <n v="2.2999999999999998"/>
    <x v="39"/>
    <n v="13.8"/>
    <n v="2.4900000000000002"/>
    <n v="24.94"/>
    <n v="0.18179999999999999"/>
    <s v="No"/>
    <s v="Rainy"/>
    <m/>
  </r>
  <r>
    <d v="2026-05-28T00:00:00"/>
    <x v="0"/>
    <s v="Thursday"/>
    <s v="Riverside"/>
    <x v="5"/>
    <x v="1"/>
    <n v="21"/>
    <n v="19"/>
    <n v="2"/>
    <n v="3.8"/>
    <x v="59"/>
    <n v="7.6"/>
    <n v="1.7"/>
    <n v="42.47"/>
    <n v="9.5200000000000007E-2"/>
    <s v="Yes"/>
    <s v="Rainy"/>
    <s v="Promotion active"/>
  </r>
  <r>
    <d v="2026-05-28T00:00:00"/>
    <x v="0"/>
    <s v="Thursday"/>
    <s v="Riverside"/>
    <x v="6"/>
    <x v="2"/>
    <n v="33"/>
    <n v="24"/>
    <n v="9"/>
    <n v="2.9"/>
    <x v="77"/>
    <n v="26.1"/>
    <n v="1.79"/>
    <n v="38.880000000000003"/>
    <n v="0.2727"/>
    <s v="No"/>
    <s v="Rainy"/>
    <m/>
  </r>
  <r>
    <d v="2026-05-28T00:00:00"/>
    <x v="0"/>
    <s v="Thursday"/>
    <s v="Riverside"/>
    <x v="7"/>
    <x v="2"/>
    <n v="28"/>
    <n v="24"/>
    <n v="4"/>
    <n v="3"/>
    <x v="20"/>
    <n v="12"/>
    <n v="1.59"/>
    <n v="45.28"/>
    <n v="0.1429"/>
    <s v="No"/>
    <s v="Rainy"/>
    <m/>
  </r>
  <r>
    <d v="2026-05-28T00:00:00"/>
    <x v="0"/>
    <s v="Thursday"/>
    <s v="Riverside"/>
    <x v="8"/>
    <x v="2"/>
    <n v="21"/>
    <n v="18"/>
    <n v="3"/>
    <n v="3.5"/>
    <x v="21"/>
    <n v="10.5"/>
    <n v="1.37"/>
    <n v="45.99"/>
    <n v="0.1429"/>
    <s v="No"/>
    <s v="Rainy"/>
    <m/>
  </r>
  <r>
    <d v="2026-05-28T00:00:00"/>
    <x v="0"/>
    <s v="Thursday"/>
    <s v="Riverside"/>
    <x v="9"/>
    <x v="3"/>
    <n v="73"/>
    <n v="66"/>
    <n v="7"/>
    <n v="2.4"/>
    <x v="78"/>
    <n v="16.8"/>
    <n v="1.52"/>
    <n v="104.21"/>
    <n v="9.5899999999999999E-2"/>
    <s v="No"/>
    <s v="Rainy"/>
    <m/>
  </r>
  <r>
    <d v="2026-05-28T00:00:00"/>
    <x v="0"/>
    <s v="Thursday"/>
    <s v="Riverside"/>
    <x v="10"/>
    <x v="3"/>
    <n v="42"/>
    <n v="41"/>
    <n v="1"/>
    <n v="1.8"/>
    <x v="63"/>
    <n v="1.8"/>
    <n v="1.03"/>
    <n v="71.650000000000006"/>
    <n v="2.3800000000000002E-2"/>
    <s v="No"/>
    <s v="Rainy"/>
    <m/>
  </r>
  <r>
    <d v="2026-05-28T00:00:00"/>
    <x v="0"/>
    <s v="Thursday"/>
    <s v="Riverside"/>
    <x v="11"/>
    <x v="4"/>
    <n v="27"/>
    <n v="23"/>
    <n v="4"/>
    <n v="4.5999999999999996"/>
    <x v="79"/>
    <n v="18.399999999999999"/>
    <n v="1.68"/>
    <n v="62.98"/>
    <n v="0.14810000000000001"/>
    <s v="No"/>
    <s v="Rainy"/>
    <m/>
  </r>
  <r>
    <d v="2026-05-28T00:00:00"/>
    <x v="0"/>
    <s v="Thursday"/>
    <s v="Riverside"/>
    <x v="12"/>
    <x v="4"/>
    <n v="20"/>
    <n v="18"/>
    <n v="2"/>
    <n v="4.8"/>
    <x v="43"/>
    <n v="9.6"/>
    <n v="1.27"/>
    <n v="68.03"/>
    <n v="0.1"/>
    <s v="No"/>
    <s v="Rainy"/>
    <m/>
  </r>
  <r>
    <d v="2026-05-29T00:00:00"/>
    <x v="0"/>
    <s v="Friday"/>
    <s v="Main Street"/>
    <x v="0"/>
    <x v="0"/>
    <n v="81"/>
    <n v="76"/>
    <n v="5"/>
    <n v="2.5"/>
    <x v="80"/>
    <n v="12.5"/>
    <n v="3.84"/>
    <n v="49.48"/>
    <n v="6.1699999999999998E-2"/>
    <s v="No"/>
    <s v="Cloudy"/>
    <s v="Strong demand"/>
  </r>
  <r>
    <d v="2026-05-29T00:00:00"/>
    <x v="0"/>
    <s v="Friday"/>
    <s v="Main Street"/>
    <x v="1"/>
    <x v="0"/>
    <n v="68"/>
    <n v="49"/>
    <n v="19"/>
    <n v="2.8"/>
    <x v="66"/>
    <n v="53.2"/>
    <n v="3.34"/>
    <n v="41.08"/>
    <n v="0.27939999999999998"/>
    <s v="No"/>
    <s v="Cloudy"/>
    <s v="Review production quantity"/>
  </r>
  <r>
    <d v="2026-05-29T00:00:00"/>
    <x v="0"/>
    <s v="Friday"/>
    <s v="Main Street"/>
    <x v="2"/>
    <x v="0"/>
    <n v="49"/>
    <n v="44"/>
    <n v="5"/>
    <n v="3.1"/>
    <x v="81"/>
    <n v="15.5"/>
    <n v="2.31"/>
    <n v="59.05"/>
    <n v="0.10199999999999999"/>
    <s v="No"/>
    <s v="Cloudy"/>
    <s v="Strong demand"/>
  </r>
  <r>
    <d v="2026-05-29T00:00:00"/>
    <x v="0"/>
    <s v="Friday"/>
    <s v="Main Street"/>
    <x v="3"/>
    <x v="1"/>
    <n v="49"/>
    <n v="37"/>
    <n v="12"/>
    <n v="4.2"/>
    <x v="82"/>
    <n v="50.4"/>
    <n v="3.55"/>
    <n v="43.77"/>
    <n v="0.24490000000000001"/>
    <s v="Yes"/>
    <s v="Cloudy"/>
    <s v="Review production quantity"/>
  </r>
  <r>
    <d v="2026-05-29T00:00:00"/>
    <x v="0"/>
    <s v="Friday"/>
    <s v="Main Street"/>
    <x v="4"/>
    <x v="1"/>
    <n v="59"/>
    <n v="54"/>
    <n v="5"/>
    <n v="2.2999999999999998"/>
    <x v="83"/>
    <n v="11.5"/>
    <n v="4.38"/>
    <n v="28.36"/>
    <n v="8.4699999999999998E-2"/>
    <s v="No"/>
    <s v="Cloudy"/>
    <s v="Strong demand"/>
  </r>
  <r>
    <d v="2026-05-29T00:00:00"/>
    <x v="0"/>
    <s v="Friday"/>
    <s v="Main Street"/>
    <x v="5"/>
    <x v="1"/>
    <n v="36"/>
    <n v="33"/>
    <n v="3"/>
    <n v="3.8"/>
    <x v="84"/>
    <n v="11.4"/>
    <n v="2.84"/>
    <n v="44.15"/>
    <n v="8.3299999999999999E-2"/>
    <s v="Yes"/>
    <s v="Cloudy"/>
    <s v="Strong demand"/>
  </r>
  <r>
    <d v="2026-05-29T00:00:00"/>
    <x v="0"/>
    <s v="Friday"/>
    <s v="Main Street"/>
    <x v="6"/>
    <x v="2"/>
    <n v="59"/>
    <n v="48"/>
    <n v="11"/>
    <n v="2.9"/>
    <x v="85"/>
    <n v="31.9"/>
    <n v="3.25"/>
    <n v="42.83"/>
    <n v="0.18640000000000001"/>
    <s v="No"/>
    <s v="Cloudy"/>
    <s v="Review production quantity"/>
  </r>
  <r>
    <d v="2026-05-29T00:00:00"/>
    <x v="0"/>
    <s v="Friday"/>
    <s v="Main Street"/>
    <x v="7"/>
    <x v="2"/>
    <n v="50"/>
    <n v="42"/>
    <n v="8"/>
    <n v="3"/>
    <x v="86"/>
    <n v="24"/>
    <n v="2.69"/>
    <n v="46.84"/>
    <n v="0.16"/>
    <s v="No"/>
    <s v="Cloudy"/>
    <s v="Strong demand"/>
  </r>
  <r>
    <d v="2026-05-29T00:00:00"/>
    <x v="0"/>
    <s v="Friday"/>
    <s v="Main Street"/>
    <x v="8"/>
    <x v="2"/>
    <n v="36"/>
    <n v="33"/>
    <n v="3"/>
    <n v="3.5"/>
    <x v="87"/>
    <n v="10.5"/>
    <n v="2.08"/>
    <n v="55.53"/>
    <n v="8.3299999999999999E-2"/>
    <s v="No"/>
    <s v="Cloudy"/>
    <s v="Strong demand"/>
  </r>
  <r>
    <d v="2026-05-29T00:00:00"/>
    <x v="0"/>
    <s v="Friday"/>
    <s v="Main Street"/>
    <x v="9"/>
    <x v="3"/>
    <n v="134"/>
    <n v="119"/>
    <n v="15"/>
    <n v="2.4"/>
    <x v="88"/>
    <n v="36"/>
    <n v="2.4900000000000002"/>
    <n v="114.7"/>
    <n v="0.1119"/>
    <s v="No"/>
    <s v="Cloudy"/>
    <m/>
  </r>
  <r>
    <d v="2026-05-29T00:00:00"/>
    <x v="0"/>
    <s v="Friday"/>
    <s v="Main Street"/>
    <x v="10"/>
    <x v="3"/>
    <n v="69"/>
    <n v="64"/>
    <n v="5"/>
    <n v="1.8"/>
    <x v="89"/>
    <n v="9"/>
    <n v="1.45"/>
    <n v="79.45"/>
    <n v="7.2499999999999995E-2"/>
    <s v="No"/>
    <s v="Cloudy"/>
    <m/>
  </r>
  <r>
    <d v="2026-05-29T00:00:00"/>
    <x v="0"/>
    <s v="Friday"/>
    <s v="Main Street"/>
    <x v="11"/>
    <x v="4"/>
    <n v="48"/>
    <n v="44"/>
    <n v="4"/>
    <n v="4.5999999999999996"/>
    <x v="90"/>
    <n v="18.399999999999999"/>
    <n v="3.14"/>
    <n v="64.459999999999994"/>
    <n v="8.3299999999999999E-2"/>
    <s v="No"/>
    <s v="Cloudy"/>
    <s v="Strong demand"/>
  </r>
  <r>
    <d v="2026-05-29T00:00:00"/>
    <x v="0"/>
    <s v="Friday"/>
    <s v="Main Street"/>
    <x v="12"/>
    <x v="4"/>
    <n v="34"/>
    <n v="29"/>
    <n v="5"/>
    <n v="4.8"/>
    <x v="85"/>
    <n v="24"/>
    <n v="2.21"/>
    <n v="62.99"/>
    <n v="0.14710000000000001"/>
    <s v="No"/>
    <s v="Cloudy"/>
    <s v="Strong demand"/>
  </r>
  <r>
    <d v="2026-05-29T00:00:00"/>
    <x v="0"/>
    <s v="Friday"/>
    <s v="Riverside"/>
    <x v="0"/>
    <x v="0"/>
    <n v="67"/>
    <n v="63"/>
    <n v="4"/>
    <n v="2.5"/>
    <x v="91"/>
    <n v="10"/>
    <n v="3.24"/>
    <n v="48.61"/>
    <n v="5.9700000000000003E-2"/>
    <s v="No"/>
    <s v="Cloudy"/>
    <s v="Strong demand"/>
  </r>
  <r>
    <d v="2026-05-29T00:00:00"/>
    <x v="0"/>
    <s v="Friday"/>
    <s v="Riverside"/>
    <x v="1"/>
    <x v="0"/>
    <n v="55"/>
    <n v="46"/>
    <n v="9"/>
    <n v="2.8"/>
    <x v="11"/>
    <n v="25.2"/>
    <n v="2.64"/>
    <n v="48.79"/>
    <n v="0.1636"/>
    <s v="No"/>
    <s v="Cloudy"/>
    <s v="Strong demand"/>
  </r>
  <r>
    <d v="2026-05-29T00:00:00"/>
    <x v="0"/>
    <s v="Friday"/>
    <s v="Riverside"/>
    <x v="2"/>
    <x v="0"/>
    <n v="41"/>
    <n v="37"/>
    <n v="4"/>
    <n v="3.1"/>
    <x v="92"/>
    <n v="12.4"/>
    <n v="2.15"/>
    <n v="53.35"/>
    <n v="9.7600000000000006E-2"/>
    <s v="No"/>
    <s v="Cloudy"/>
    <s v="Strong demand"/>
  </r>
  <r>
    <d v="2026-05-29T00:00:00"/>
    <x v="0"/>
    <s v="Friday"/>
    <s v="Riverside"/>
    <x v="3"/>
    <x v="1"/>
    <n v="38"/>
    <n v="34"/>
    <n v="4"/>
    <n v="4.2"/>
    <x v="93"/>
    <n v="16.8"/>
    <n v="2.87"/>
    <n v="49.76"/>
    <n v="0.1053"/>
    <s v="Yes"/>
    <s v="Cloudy"/>
    <s v="Strong demand"/>
  </r>
  <r>
    <d v="2026-05-29T00:00:00"/>
    <x v="0"/>
    <s v="Friday"/>
    <s v="Riverside"/>
    <x v="4"/>
    <x v="1"/>
    <n v="44"/>
    <n v="37"/>
    <n v="7"/>
    <n v="2.2999999999999998"/>
    <x v="94"/>
    <n v="16.100000000000001"/>
    <n v="3.26"/>
    <n v="26.1"/>
    <n v="0.15909999999999999"/>
    <s v="No"/>
    <s v="Cloudy"/>
    <m/>
  </r>
  <r>
    <d v="2026-05-29T00:00:00"/>
    <x v="0"/>
    <s v="Friday"/>
    <s v="Riverside"/>
    <x v="5"/>
    <x v="1"/>
    <n v="24"/>
    <n v="22"/>
    <n v="2"/>
    <n v="3.8"/>
    <x v="95"/>
    <n v="7.6"/>
    <n v="1.85"/>
    <n v="45.19"/>
    <n v="8.3299999999999999E-2"/>
    <s v="No"/>
    <s v="Cloudy"/>
    <s v="Strong demand"/>
  </r>
  <r>
    <d v="2026-05-29T00:00:00"/>
    <x v="0"/>
    <s v="Friday"/>
    <s v="Riverside"/>
    <x v="6"/>
    <x v="2"/>
    <n v="44"/>
    <n v="34"/>
    <n v="10"/>
    <n v="2.9"/>
    <x v="96"/>
    <n v="29"/>
    <n v="2.44"/>
    <n v="40.409999999999997"/>
    <n v="0.2273"/>
    <s v="No"/>
    <s v="Cloudy"/>
    <s v="Review production quantity"/>
  </r>
  <r>
    <d v="2026-05-29T00:00:00"/>
    <x v="0"/>
    <s v="Friday"/>
    <s v="Riverside"/>
    <x v="7"/>
    <x v="2"/>
    <n v="36"/>
    <n v="32"/>
    <n v="4"/>
    <n v="3"/>
    <x v="68"/>
    <n v="12"/>
    <n v="1.86"/>
    <n v="51.61"/>
    <n v="0.1111"/>
    <s v="No"/>
    <s v="Cloudy"/>
    <s v="Strong demand"/>
  </r>
  <r>
    <d v="2026-05-29T00:00:00"/>
    <x v="0"/>
    <s v="Friday"/>
    <s v="Riverside"/>
    <x v="8"/>
    <x v="2"/>
    <n v="28"/>
    <n v="25"/>
    <n v="3"/>
    <n v="3.5"/>
    <x v="8"/>
    <n v="10.5"/>
    <n v="1.47"/>
    <n v="59.52"/>
    <n v="0.1071"/>
    <s v="No"/>
    <s v="Cloudy"/>
    <s v="Strong demand"/>
  </r>
  <r>
    <d v="2026-05-29T00:00:00"/>
    <x v="0"/>
    <s v="Friday"/>
    <s v="Riverside"/>
    <x v="9"/>
    <x v="3"/>
    <n v="102"/>
    <n v="95"/>
    <n v="7"/>
    <n v="2.4"/>
    <x v="62"/>
    <n v="16.8"/>
    <n v="2.11"/>
    <n v="108.06"/>
    <n v="6.8599999999999994E-2"/>
    <s v="No"/>
    <s v="Cloudy"/>
    <m/>
  </r>
  <r>
    <d v="2026-05-29T00:00:00"/>
    <x v="0"/>
    <s v="Friday"/>
    <s v="Riverside"/>
    <x v="10"/>
    <x v="3"/>
    <n v="60"/>
    <n v="56"/>
    <n v="4"/>
    <n v="1.8"/>
    <x v="1"/>
    <n v="7.2"/>
    <n v="1.21"/>
    <n v="83.31"/>
    <n v="6.6699999999999995E-2"/>
    <s v="No"/>
    <s v="Cloudy"/>
    <s v="Strong demand"/>
  </r>
  <r>
    <d v="2026-05-29T00:00:00"/>
    <x v="0"/>
    <s v="Friday"/>
    <s v="Riverside"/>
    <x v="11"/>
    <x v="4"/>
    <n v="36"/>
    <n v="34"/>
    <n v="2"/>
    <n v="4.5999999999999996"/>
    <x v="64"/>
    <n v="9.1999999999999993"/>
    <n v="2.5099999999999998"/>
    <n v="62.31"/>
    <n v="5.5599999999999997E-2"/>
    <s v="No"/>
    <s v="Cloudy"/>
    <s v="Strong demand"/>
  </r>
  <r>
    <d v="2026-05-29T00:00:00"/>
    <x v="0"/>
    <s v="Friday"/>
    <s v="Riverside"/>
    <x v="12"/>
    <x v="4"/>
    <n v="28"/>
    <n v="24"/>
    <n v="4"/>
    <n v="4.8"/>
    <x v="89"/>
    <n v="19.2"/>
    <n v="1.93"/>
    <n v="59.69"/>
    <n v="0.1429"/>
    <s v="No"/>
    <s v="Cloudy"/>
    <s v="Strong demand"/>
  </r>
  <r>
    <d v="2026-06-01T00:00:00"/>
    <x v="1"/>
    <s v="Monday"/>
    <s v="Main Street"/>
    <x v="0"/>
    <x v="0"/>
    <n v="56"/>
    <n v="45"/>
    <n v="11"/>
    <n v="2.5"/>
    <x v="97"/>
    <n v="27.5"/>
    <n v="2.62"/>
    <n v="42.94"/>
    <n v="0.19639999999999999"/>
    <s v="Yes"/>
    <s v="Rainy"/>
    <s v="Review production quantity"/>
  </r>
  <r>
    <d v="2026-06-01T00:00:00"/>
    <x v="1"/>
    <s v="Monday"/>
    <s v="Main Street"/>
    <x v="1"/>
    <x v="0"/>
    <n v="42"/>
    <n v="35"/>
    <n v="7"/>
    <n v="2.8"/>
    <x v="37"/>
    <n v="19.600000000000001"/>
    <n v="2.0099999999999998"/>
    <n v="48.76"/>
    <n v="0.16669999999999999"/>
    <s v="No"/>
    <s v="Rainy"/>
    <m/>
  </r>
  <r>
    <d v="2026-06-01T00:00:00"/>
    <x v="1"/>
    <s v="Monday"/>
    <s v="Main Street"/>
    <x v="2"/>
    <x v="0"/>
    <n v="35"/>
    <n v="26"/>
    <n v="9"/>
    <n v="3.1"/>
    <x v="15"/>
    <n v="27.9"/>
    <n v="1.81"/>
    <n v="44.53"/>
    <n v="0.2571"/>
    <s v="No"/>
    <s v="Rainy"/>
    <m/>
  </r>
  <r>
    <d v="2026-06-01T00:00:00"/>
    <x v="1"/>
    <s v="Monday"/>
    <s v="Main Street"/>
    <x v="3"/>
    <x v="1"/>
    <n v="25"/>
    <n v="25"/>
    <n v="0"/>
    <n v="4.2"/>
    <x v="58"/>
    <n v="0"/>
    <n v="2.09"/>
    <n v="50.24"/>
    <n v="0"/>
    <s v="No"/>
    <s v="Rainy"/>
    <m/>
  </r>
  <r>
    <d v="2026-06-01T00:00:00"/>
    <x v="1"/>
    <s v="Monday"/>
    <s v="Main Street"/>
    <x v="4"/>
    <x v="1"/>
    <n v="34"/>
    <n v="30"/>
    <n v="4"/>
    <n v="2.2999999999999998"/>
    <x v="98"/>
    <n v="9.1999999999999993"/>
    <n v="2.63"/>
    <n v="26.24"/>
    <n v="0.1176"/>
    <s v="No"/>
    <s v="Rainy"/>
    <m/>
  </r>
  <r>
    <d v="2026-06-01T00:00:00"/>
    <x v="1"/>
    <s v="Monday"/>
    <s v="Main Street"/>
    <x v="5"/>
    <x v="1"/>
    <n v="21"/>
    <n v="19"/>
    <n v="2"/>
    <n v="3.8"/>
    <x v="59"/>
    <n v="7.6"/>
    <n v="1.54"/>
    <n v="46.88"/>
    <n v="9.5200000000000007E-2"/>
    <s v="Yes"/>
    <s v="Rainy"/>
    <s v="Promotion active"/>
  </r>
  <r>
    <d v="2026-06-01T00:00:00"/>
    <x v="1"/>
    <s v="Monday"/>
    <s v="Main Street"/>
    <x v="6"/>
    <x v="2"/>
    <n v="36"/>
    <n v="27"/>
    <n v="9"/>
    <n v="2.9"/>
    <x v="99"/>
    <n v="26.1"/>
    <n v="2.08"/>
    <n v="37.64"/>
    <n v="0.25"/>
    <s v="No"/>
    <s v="Rainy"/>
    <m/>
  </r>
  <r>
    <d v="2026-06-01T00:00:00"/>
    <x v="1"/>
    <s v="Monday"/>
    <s v="Main Street"/>
    <x v="7"/>
    <x v="2"/>
    <n v="30"/>
    <n v="23"/>
    <n v="7"/>
    <n v="3"/>
    <x v="98"/>
    <n v="21"/>
    <n v="1.85"/>
    <n v="37.299999999999997"/>
    <n v="0.23330000000000001"/>
    <s v="No"/>
    <s v="Rainy"/>
    <m/>
  </r>
  <r>
    <d v="2026-06-01T00:00:00"/>
    <x v="1"/>
    <s v="Monday"/>
    <s v="Main Street"/>
    <x v="8"/>
    <x v="2"/>
    <n v="23"/>
    <n v="19"/>
    <n v="4"/>
    <n v="3.5"/>
    <x v="61"/>
    <n v="14"/>
    <n v="1.31"/>
    <n v="50.76"/>
    <n v="0.1739"/>
    <s v="No"/>
    <s v="Rainy"/>
    <m/>
  </r>
  <r>
    <d v="2026-06-01T00:00:00"/>
    <x v="1"/>
    <s v="Monday"/>
    <s v="Main Street"/>
    <x v="9"/>
    <x v="3"/>
    <n v="87"/>
    <n v="84"/>
    <n v="3"/>
    <n v="2.4"/>
    <x v="100"/>
    <n v="7.2"/>
    <n v="1.86"/>
    <n v="108.39"/>
    <n v="3.4500000000000003E-2"/>
    <s v="No"/>
    <s v="Rainy"/>
    <m/>
  </r>
  <r>
    <d v="2026-06-01T00:00:00"/>
    <x v="1"/>
    <s v="Monday"/>
    <s v="Main Street"/>
    <x v="10"/>
    <x v="3"/>
    <n v="47"/>
    <n v="42"/>
    <n v="5"/>
    <n v="1.8"/>
    <x v="16"/>
    <n v="9"/>
    <n v="1.1399999999999999"/>
    <n v="66.319999999999993"/>
    <n v="0.10639999999999999"/>
    <s v="No"/>
    <s v="Rainy"/>
    <m/>
  </r>
  <r>
    <d v="2026-06-01T00:00:00"/>
    <x v="1"/>
    <s v="Monday"/>
    <s v="Main Street"/>
    <x v="11"/>
    <x v="4"/>
    <n v="31"/>
    <n v="28"/>
    <n v="3"/>
    <n v="4.5999999999999996"/>
    <x v="11"/>
    <n v="13.8"/>
    <n v="2.2000000000000002"/>
    <n v="58.55"/>
    <n v="9.6799999999999997E-2"/>
    <s v="No"/>
    <s v="Rainy"/>
    <m/>
  </r>
  <r>
    <d v="2026-06-01T00:00:00"/>
    <x v="1"/>
    <s v="Monday"/>
    <s v="Main Street"/>
    <x v="12"/>
    <x v="4"/>
    <n v="23"/>
    <n v="18"/>
    <n v="5"/>
    <n v="4.8"/>
    <x v="43"/>
    <n v="24"/>
    <n v="1.58"/>
    <n v="54.68"/>
    <n v="0.21740000000000001"/>
    <s v="No"/>
    <s v="Rainy"/>
    <m/>
  </r>
  <r>
    <d v="2026-06-01T00:00:00"/>
    <x v="1"/>
    <s v="Monday"/>
    <s v="Riverside"/>
    <x v="0"/>
    <x v="0"/>
    <n v="44"/>
    <n v="34"/>
    <n v="10"/>
    <n v="2.5"/>
    <x v="101"/>
    <n v="25"/>
    <n v="2.29"/>
    <n v="37.119999999999997"/>
    <n v="0.2273"/>
    <s v="No"/>
    <s v="Rainy"/>
    <s v="Review production quantity"/>
  </r>
  <r>
    <d v="2026-06-01T00:00:00"/>
    <x v="1"/>
    <s v="Monday"/>
    <s v="Riverside"/>
    <x v="1"/>
    <x v="0"/>
    <n v="30"/>
    <n v="29"/>
    <n v="1"/>
    <n v="2.8"/>
    <x v="102"/>
    <n v="2.8"/>
    <n v="1.47"/>
    <n v="55.24"/>
    <n v="3.3300000000000003E-2"/>
    <s v="No"/>
    <s v="Rainy"/>
    <m/>
  </r>
  <r>
    <d v="2026-06-01T00:00:00"/>
    <x v="1"/>
    <s v="Monday"/>
    <s v="Riverside"/>
    <x v="2"/>
    <x v="0"/>
    <n v="26"/>
    <n v="21"/>
    <n v="5"/>
    <n v="3.1"/>
    <x v="103"/>
    <n v="15.5"/>
    <n v="1.23"/>
    <n v="52.93"/>
    <n v="0.1923"/>
    <s v="No"/>
    <s v="Rainy"/>
    <m/>
  </r>
  <r>
    <d v="2026-06-01T00:00:00"/>
    <x v="1"/>
    <s v="Monday"/>
    <s v="Riverside"/>
    <x v="3"/>
    <x v="1"/>
    <n v="20"/>
    <n v="17"/>
    <n v="3"/>
    <n v="4.2"/>
    <x v="104"/>
    <n v="12.6"/>
    <n v="1.69"/>
    <n v="42.25"/>
    <n v="0.15"/>
    <s v="No"/>
    <s v="Rainy"/>
    <m/>
  </r>
  <r>
    <d v="2026-06-01T00:00:00"/>
    <x v="1"/>
    <s v="Monday"/>
    <s v="Riverside"/>
    <x v="4"/>
    <x v="1"/>
    <n v="31"/>
    <n v="26"/>
    <n v="5"/>
    <n v="2.2999999999999998"/>
    <x v="105"/>
    <n v="11.5"/>
    <n v="2.2999999999999998"/>
    <n v="26"/>
    <n v="0.1613"/>
    <s v="No"/>
    <s v="Rainy"/>
    <m/>
  </r>
  <r>
    <d v="2026-06-01T00:00:00"/>
    <x v="1"/>
    <s v="Monday"/>
    <s v="Riverside"/>
    <x v="5"/>
    <x v="1"/>
    <n v="17"/>
    <n v="12"/>
    <n v="5"/>
    <n v="3.8"/>
    <x v="106"/>
    <n v="19"/>
    <n v="1.46"/>
    <n v="31.23"/>
    <n v="0.29409999999999997"/>
    <s v="No"/>
    <s v="Rainy"/>
    <m/>
  </r>
  <r>
    <d v="2026-06-01T00:00:00"/>
    <x v="1"/>
    <s v="Monday"/>
    <s v="Riverside"/>
    <x v="6"/>
    <x v="2"/>
    <n v="29"/>
    <n v="24"/>
    <n v="5"/>
    <n v="2.9"/>
    <x v="77"/>
    <n v="14.5"/>
    <n v="1.69"/>
    <n v="41.18"/>
    <n v="0.1724"/>
    <s v="No"/>
    <s v="Rainy"/>
    <m/>
  </r>
  <r>
    <d v="2026-06-01T00:00:00"/>
    <x v="1"/>
    <s v="Monday"/>
    <s v="Riverside"/>
    <x v="7"/>
    <x v="2"/>
    <n v="24"/>
    <n v="18"/>
    <n v="6"/>
    <n v="3"/>
    <x v="107"/>
    <n v="18"/>
    <n v="1.32"/>
    <n v="40.909999999999997"/>
    <n v="0.25"/>
    <s v="No"/>
    <s v="Rainy"/>
    <m/>
  </r>
  <r>
    <d v="2026-06-01T00:00:00"/>
    <x v="1"/>
    <s v="Monday"/>
    <s v="Riverside"/>
    <x v="8"/>
    <x v="2"/>
    <n v="18"/>
    <n v="16"/>
    <n v="2"/>
    <n v="3.5"/>
    <x v="108"/>
    <n v="7"/>
    <n v="1.0900000000000001"/>
    <n v="51.38"/>
    <n v="0.1111"/>
    <s v="No"/>
    <s v="Rainy"/>
    <m/>
  </r>
  <r>
    <d v="2026-06-01T00:00:00"/>
    <x v="1"/>
    <s v="Monday"/>
    <s v="Riverside"/>
    <x v="9"/>
    <x v="3"/>
    <n v="68"/>
    <n v="65"/>
    <n v="3"/>
    <n v="2.4"/>
    <x v="109"/>
    <n v="7.2"/>
    <n v="1.37"/>
    <n v="113.87"/>
    <n v="4.41E-2"/>
    <s v="No"/>
    <s v="Rainy"/>
    <m/>
  </r>
  <r>
    <d v="2026-06-01T00:00:00"/>
    <x v="1"/>
    <s v="Monday"/>
    <s v="Riverside"/>
    <x v="10"/>
    <x v="3"/>
    <n v="33"/>
    <n v="30"/>
    <n v="3"/>
    <n v="1.8"/>
    <x v="107"/>
    <n v="5.4"/>
    <n v="0.68"/>
    <n v="79.41"/>
    <n v="9.0899999999999995E-2"/>
    <s v="No"/>
    <s v="Rainy"/>
    <m/>
  </r>
  <r>
    <d v="2026-06-01T00:00:00"/>
    <x v="1"/>
    <s v="Monday"/>
    <s v="Riverside"/>
    <x v="11"/>
    <x v="4"/>
    <n v="23"/>
    <n v="21"/>
    <n v="2"/>
    <n v="4.5999999999999996"/>
    <x v="110"/>
    <n v="9.1999999999999993"/>
    <n v="1.66"/>
    <n v="58.19"/>
    <n v="8.6999999999999994E-2"/>
    <s v="No"/>
    <s v="Rainy"/>
    <m/>
  </r>
  <r>
    <d v="2026-06-01T00:00:00"/>
    <x v="1"/>
    <s v="Monday"/>
    <s v="Riverside"/>
    <x v="12"/>
    <x v="4"/>
    <n v="16"/>
    <n v="14"/>
    <n v="2"/>
    <n v="4.8"/>
    <x v="111"/>
    <n v="9.6"/>
    <n v="1.23"/>
    <n v="54.63"/>
    <n v="0.125"/>
    <s v="No"/>
    <s v="Rainy"/>
    <m/>
  </r>
  <r>
    <d v="2026-06-02T00:00:00"/>
    <x v="1"/>
    <s v="Tuesday"/>
    <s v="Main Street"/>
    <x v="0"/>
    <x v="0"/>
    <n v="57"/>
    <n v="46"/>
    <n v="11"/>
    <n v="2.5"/>
    <x v="13"/>
    <n v="27.5"/>
    <n v="2.67"/>
    <n v="43.07"/>
    <n v="0.193"/>
    <s v="No"/>
    <s v="Windy"/>
    <s v="Review production quantity"/>
  </r>
  <r>
    <d v="2026-06-02T00:00:00"/>
    <x v="1"/>
    <s v="Tuesday"/>
    <s v="Main Street"/>
    <x v="1"/>
    <x v="0"/>
    <n v="43"/>
    <n v="34"/>
    <n v="9"/>
    <n v="2.8"/>
    <x v="112"/>
    <n v="25.2"/>
    <n v="2.15"/>
    <n v="44.28"/>
    <n v="0.20930000000000001"/>
    <s v="No"/>
    <s v="Windy"/>
    <m/>
  </r>
  <r>
    <d v="2026-06-02T00:00:00"/>
    <x v="1"/>
    <s v="Tuesday"/>
    <s v="Main Street"/>
    <x v="2"/>
    <x v="0"/>
    <n v="40"/>
    <n v="32"/>
    <n v="8"/>
    <n v="3.1"/>
    <x v="2"/>
    <n v="24.8"/>
    <n v="2.06"/>
    <n v="48.16"/>
    <n v="0.2"/>
    <s v="No"/>
    <s v="Windy"/>
    <m/>
  </r>
  <r>
    <d v="2026-06-02T00:00:00"/>
    <x v="1"/>
    <s v="Tuesday"/>
    <s v="Main Street"/>
    <x v="3"/>
    <x v="1"/>
    <n v="32"/>
    <n v="26"/>
    <n v="6"/>
    <n v="4.2"/>
    <x v="3"/>
    <n v="25.2"/>
    <n v="2.5499999999999998"/>
    <n v="42.82"/>
    <n v="0.1875"/>
    <s v="No"/>
    <s v="Windy"/>
    <m/>
  </r>
  <r>
    <d v="2026-06-02T00:00:00"/>
    <x v="1"/>
    <s v="Tuesday"/>
    <s v="Main Street"/>
    <x v="4"/>
    <x v="1"/>
    <n v="41"/>
    <n v="34"/>
    <n v="7"/>
    <n v="2.2999999999999998"/>
    <x v="113"/>
    <n v="16.100000000000001"/>
    <n v="2.98"/>
    <n v="26.24"/>
    <n v="0.17069999999999999"/>
    <s v="No"/>
    <s v="Windy"/>
    <m/>
  </r>
  <r>
    <d v="2026-06-02T00:00:00"/>
    <x v="1"/>
    <s v="Tuesday"/>
    <s v="Main Street"/>
    <x v="5"/>
    <x v="1"/>
    <n v="23"/>
    <n v="18"/>
    <n v="5"/>
    <n v="3.8"/>
    <x v="114"/>
    <n v="19"/>
    <n v="1.91"/>
    <n v="35.81"/>
    <n v="0.21740000000000001"/>
    <s v="No"/>
    <s v="Windy"/>
    <m/>
  </r>
  <r>
    <d v="2026-06-02T00:00:00"/>
    <x v="1"/>
    <s v="Tuesday"/>
    <s v="Main Street"/>
    <x v="6"/>
    <x v="2"/>
    <n v="36"/>
    <n v="34"/>
    <n v="2"/>
    <n v="2.9"/>
    <x v="96"/>
    <n v="5.8"/>
    <n v="1.87"/>
    <n v="52.73"/>
    <n v="5.5599999999999997E-2"/>
    <s v="No"/>
    <s v="Windy"/>
    <m/>
  </r>
  <r>
    <d v="2026-06-02T00:00:00"/>
    <x v="1"/>
    <s v="Tuesday"/>
    <s v="Main Street"/>
    <x v="7"/>
    <x v="2"/>
    <n v="33"/>
    <n v="26"/>
    <n v="7"/>
    <n v="3"/>
    <x v="31"/>
    <n v="21"/>
    <n v="2"/>
    <n v="39"/>
    <n v="0.21210000000000001"/>
    <s v="No"/>
    <s v="Windy"/>
    <m/>
  </r>
  <r>
    <d v="2026-06-02T00:00:00"/>
    <x v="1"/>
    <s v="Tuesday"/>
    <s v="Main Street"/>
    <x v="8"/>
    <x v="2"/>
    <n v="27"/>
    <n v="23"/>
    <n v="4"/>
    <n v="3.5"/>
    <x v="32"/>
    <n v="14"/>
    <n v="1.64"/>
    <n v="49.09"/>
    <n v="0.14810000000000001"/>
    <s v="No"/>
    <s v="Windy"/>
    <m/>
  </r>
  <r>
    <d v="2026-06-02T00:00:00"/>
    <x v="1"/>
    <s v="Tuesday"/>
    <s v="Main Street"/>
    <x v="9"/>
    <x v="3"/>
    <n v="94"/>
    <n v="86"/>
    <n v="8"/>
    <n v="2.4"/>
    <x v="115"/>
    <n v="19.2"/>
    <n v="1.87"/>
    <n v="110.37"/>
    <n v="8.5099999999999995E-2"/>
    <s v="No"/>
    <s v="Windy"/>
    <m/>
  </r>
  <r>
    <d v="2026-06-02T00:00:00"/>
    <x v="1"/>
    <s v="Tuesday"/>
    <s v="Main Street"/>
    <x v="10"/>
    <x v="3"/>
    <n v="57"/>
    <n v="49"/>
    <n v="8"/>
    <n v="1.8"/>
    <x v="76"/>
    <n v="14.4"/>
    <n v="1.26"/>
    <n v="70"/>
    <n v="0.1404"/>
    <s v="Yes"/>
    <s v="Windy"/>
    <s v="Promotion active"/>
  </r>
  <r>
    <d v="2026-06-02T00:00:00"/>
    <x v="1"/>
    <s v="Tuesday"/>
    <s v="Main Street"/>
    <x v="11"/>
    <x v="4"/>
    <n v="36"/>
    <n v="32"/>
    <n v="4"/>
    <n v="4.5999999999999996"/>
    <x v="72"/>
    <n v="18.399999999999999"/>
    <n v="2.27"/>
    <n v="64.849999999999994"/>
    <n v="0.1111"/>
    <s v="No"/>
    <s v="Windy"/>
    <m/>
  </r>
  <r>
    <d v="2026-06-02T00:00:00"/>
    <x v="1"/>
    <s v="Tuesday"/>
    <s v="Main Street"/>
    <x v="12"/>
    <x v="4"/>
    <n v="25"/>
    <n v="19"/>
    <n v="6"/>
    <n v="4.8"/>
    <x v="12"/>
    <n v="28.8"/>
    <n v="1.6"/>
    <n v="57"/>
    <n v="0.24"/>
    <s v="No"/>
    <s v="Windy"/>
    <m/>
  </r>
  <r>
    <d v="2026-06-02T00:00:00"/>
    <x v="1"/>
    <s v="Tuesday"/>
    <s v="Riverside"/>
    <x v="0"/>
    <x v="0"/>
    <n v="43"/>
    <n v="39"/>
    <n v="4"/>
    <n v="2.5"/>
    <x v="116"/>
    <n v="10"/>
    <n v="2.16"/>
    <n v="45.14"/>
    <n v="9.2999999999999999E-2"/>
    <s v="No"/>
    <s v="Windy"/>
    <m/>
  </r>
  <r>
    <d v="2026-06-02T00:00:00"/>
    <x v="1"/>
    <s v="Tuesday"/>
    <s v="Riverside"/>
    <x v="1"/>
    <x v="0"/>
    <n v="34"/>
    <n v="32"/>
    <n v="2"/>
    <n v="2.8"/>
    <x v="117"/>
    <n v="5.6"/>
    <n v="1.79"/>
    <n v="50.06"/>
    <n v="5.8799999999999998E-2"/>
    <s v="No"/>
    <s v="Windy"/>
    <m/>
  </r>
  <r>
    <d v="2026-06-02T00:00:00"/>
    <x v="1"/>
    <s v="Tuesday"/>
    <s v="Riverside"/>
    <x v="2"/>
    <x v="0"/>
    <n v="30"/>
    <n v="27"/>
    <n v="3"/>
    <n v="3.1"/>
    <x v="118"/>
    <n v="9.3000000000000007"/>
    <n v="1.64"/>
    <n v="51.04"/>
    <n v="0.1"/>
    <s v="No"/>
    <s v="Windy"/>
    <m/>
  </r>
  <r>
    <d v="2026-06-02T00:00:00"/>
    <x v="1"/>
    <s v="Tuesday"/>
    <s v="Riverside"/>
    <x v="3"/>
    <x v="1"/>
    <n v="25"/>
    <n v="22"/>
    <n v="3"/>
    <n v="4.2"/>
    <x v="119"/>
    <n v="12.6"/>
    <n v="1.93"/>
    <n v="47.88"/>
    <n v="0.12"/>
    <s v="No"/>
    <s v="Windy"/>
    <m/>
  </r>
  <r>
    <d v="2026-06-02T00:00:00"/>
    <x v="1"/>
    <s v="Tuesday"/>
    <s v="Riverside"/>
    <x v="4"/>
    <x v="1"/>
    <n v="33"/>
    <n v="30"/>
    <n v="3"/>
    <n v="2.2999999999999998"/>
    <x v="98"/>
    <n v="6.9"/>
    <n v="2.61"/>
    <n v="26.44"/>
    <n v="9.0899999999999995E-2"/>
    <s v="No"/>
    <s v="Windy"/>
    <m/>
  </r>
  <r>
    <d v="2026-06-02T00:00:00"/>
    <x v="1"/>
    <s v="Tuesday"/>
    <s v="Riverside"/>
    <x v="5"/>
    <x v="1"/>
    <n v="16"/>
    <n v="14"/>
    <n v="2"/>
    <n v="3.8"/>
    <x v="18"/>
    <n v="7.6"/>
    <n v="1.39"/>
    <n v="38.270000000000003"/>
    <n v="0.125"/>
    <s v="No"/>
    <s v="Windy"/>
    <m/>
  </r>
  <r>
    <d v="2026-06-02T00:00:00"/>
    <x v="1"/>
    <s v="Tuesday"/>
    <s v="Riverside"/>
    <x v="6"/>
    <x v="2"/>
    <n v="29"/>
    <n v="24"/>
    <n v="5"/>
    <n v="2.9"/>
    <x v="77"/>
    <n v="14.5"/>
    <n v="1.71"/>
    <n v="40.700000000000003"/>
    <n v="0.1724"/>
    <s v="No"/>
    <s v="Windy"/>
    <m/>
  </r>
  <r>
    <d v="2026-06-02T00:00:00"/>
    <x v="1"/>
    <s v="Tuesday"/>
    <s v="Riverside"/>
    <x v="7"/>
    <x v="2"/>
    <n v="28"/>
    <n v="22"/>
    <n v="6"/>
    <n v="3"/>
    <x v="120"/>
    <n v="18"/>
    <n v="1.6"/>
    <n v="41.25"/>
    <n v="0.21429999999999999"/>
    <s v="No"/>
    <s v="Windy"/>
    <m/>
  </r>
  <r>
    <d v="2026-06-02T00:00:00"/>
    <x v="1"/>
    <s v="Tuesday"/>
    <s v="Riverside"/>
    <x v="8"/>
    <x v="2"/>
    <n v="19"/>
    <n v="17"/>
    <n v="2"/>
    <n v="3.5"/>
    <x v="41"/>
    <n v="7"/>
    <n v="1.1000000000000001"/>
    <n v="54.09"/>
    <n v="0.1053"/>
    <s v="No"/>
    <s v="Windy"/>
    <m/>
  </r>
  <r>
    <d v="2026-06-02T00:00:00"/>
    <x v="1"/>
    <s v="Tuesday"/>
    <s v="Riverside"/>
    <x v="9"/>
    <x v="3"/>
    <n v="75"/>
    <n v="75"/>
    <n v="0"/>
    <n v="2.4"/>
    <x v="121"/>
    <n v="0"/>
    <n v="1.65"/>
    <n v="109.09"/>
    <n v="0"/>
    <s v="No"/>
    <s v="Windy"/>
    <m/>
  </r>
  <r>
    <d v="2026-06-02T00:00:00"/>
    <x v="1"/>
    <s v="Tuesday"/>
    <s v="Riverside"/>
    <x v="10"/>
    <x v="3"/>
    <n v="43"/>
    <n v="40"/>
    <n v="3"/>
    <n v="1.8"/>
    <x v="20"/>
    <n v="5.4"/>
    <n v="1.03"/>
    <n v="69.900000000000006"/>
    <n v="6.9800000000000001E-2"/>
    <s v="No"/>
    <s v="Windy"/>
    <m/>
  </r>
  <r>
    <d v="2026-06-02T00:00:00"/>
    <x v="1"/>
    <s v="Tuesday"/>
    <s v="Riverside"/>
    <x v="11"/>
    <x v="4"/>
    <n v="25"/>
    <n v="24"/>
    <n v="1"/>
    <n v="4.5999999999999996"/>
    <x v="122"/>
    <n v="4.5999999999999996"/>
    <n v="1.69"/>
    <n v="65.33"/>
    <n v="0.04"/>
    <s v="No"/>
    <s v="Windy"/>
    <m/>
  </r>
  <r>
    <d v="2026-06-02T00:00:00"/>
    <x v="1"/>
    <s v="Tuesday"/>
    <s v="Riverside"/>
    <x v="12"/>
    <x v="4"/>
    <n v="20"/>
    <n v="15"/>
    <n v="5"/>
    <n v="4.8"/>
    <x v="20"/>
    <n v="24"/>
    <n v="1.43"/>
    <n v="50.35"/>
    <n v="0.25"/>
    <s v="No"/>
    <s v="Windy"/>
    <m/>
  </r>
  <r>
    <d v="2026-06-03T00:00:00"/>
    <x v="1"/>
    <s v="Wednesday"/>
    <s v="Main Street"/>
    <x v="0"/>
    <x v="0"/>
    <n v="63"/>
    <n v="55"/>
    <n v="8"/>
    <n v="2.5"/>
    <x v="123"/>
    <n v="20"/>
    <n v="2.98"/>
    <n v="46.14"/>
    <n v="0.127"/>
    <s v="No"/>
    <s v="Cloudy"/>
    <m/>
  </r>
  <r>
    <d v="2026-06-03T00:00:00"/>
    <x v="1"/>
    <s v="Wednesday"/>
    <s v="Main Street"/>
    <x v="1"/>
    <x v="0"/>
    <n v="55"/>
    <n v="42"/>
    <n v="13"/>
    <n v="2.8"/>
    <x v="124"/>
    <n v="36.4"/>
    <n v="2.73"/>
    <n v="43.08"/>
    <n v="0.2364"/>
    <s v="No"/>
    <s v="Cloudy"/>
    <s v="Review production quantity"/>
  </r>
  <r>
    <d v="2026-06-03T00:00:00"/>
    <x v="1"/>
    <s v="Wednesday"/>
    <s v="Main Street"/>
    <x v="2"/>
    <x v="0"/>
    <n v="45"/>
    <n v="38"/>
    <n v="7"/>
    <n v="3.1"/>
    <x v="125"/>
    <n v="21.7"/>
    <n v="2.2400000000000002"/>
    <n v="52.59"/>
    <n v="0.15559999999999999"/>
    <s v="No"/>
    <s v="Cloudy"/>
    <m/>
  </r>
  <r>
    <d v="2026-06-03T00:00:00"/>
    <x v="1"/>
    <s v="Wednesday"/>
    <s v="Main Street"/>
    <x v="3"/>
    <x v="1"/>
    <n v="33"/>
    <n v="28"/>
    <n v="5"/>
    <n v="4.2"/>
    <x v="124"/>
    <n v="21"/>
    <n v="2.65"/>
    <n v="44.38"/>
    <n v="0.1515"/>
    <s v="No"/>
    <s v="Cloudy"/>
    <m/>
  </r>
  <r>
    <d v="2026-06-03T00:00:00"/>
    <x v="1"/>
    <s v="Wednesday"/>
    <s v="Main Street"/>
    <x v="4"/>
    <x v="1"/>
    <n v="47"/>
    <n v="44"/>
    <n v="3"/>
    <n v="2.2999999999999998"/>
    <x v="126"/>
    <n v="6.9"/>
    <n v="3.54"/>
    <n v="28.59"/>
    <n v="6.3799999999999996E-2"/>
    <s v="No"/>
    <s v="Cloudy"/>
    <m/>
  </r>
  <r>
    <d v="2026-06-03T00:00:00"/>
    <x v="1"/>
    <s v="Wednesday"/>
    <s v="Main Street"/>
    <x v="5"/>
    <x v="1"/>
    <n v="24"/>
    <n v="19"/>
    <n v="5"/>
    <n v="3.8"/>
    <x v="59"/>
    <n v="19"/>
    <n v="1.84"/>
    <n v="39.24"/>
    <n v="0.20830000000000001"/>
    <s v="No"/>
    <s v="Cloudy"/>
    <m/>
  </r>
  <r>
    <d v="2026-06-03T00:00:00"/>
    <x v="1"/>
    <s v="Wednesday"/>
    <s v="Main Street"/>
    <x v="6"/>
    <x v="2"/>
    <n v="45"/>
    <n v="40"/>
    <n v="5"/>
    <n v="2.9"/>
    <x v="127"/>
    <n v="14.5"/>
    <n v="2.36"/>
    <n v="49.15"/>
    <n v="0.1111"/>
    <s v="No"/>
    <s v="Cloudy"/>
    <m/>
  </r>
  <r>
    <d v="2026-06-03T00:00:00"/>
    <x v="1"/>
    <s v="Wednesday"/>
    <s v="Main Street"/>
    <x v="7"/>
    <x v="2"/>
    <n v="40"/>
    <n v="31"/>
    <n v="9"/>
    <n v="3"/>
    <x v="128"/>
    <n v="27"/>
    <n v="2.2599999999999998"/>
    <n v="41.15"/>
    <n v="0.22500000000000001"/>
    <s v="No"/>
    <s v="Cloudy"/>
    <m/>
  </r>
  <r>
    <d v="2026-06-03T00:00:00"/>
    <x v="1"/>
    <s v="Wednesday"/>
    <s v="Main Street"/>
    <x v="8"/>
    <x v="2"/>
    <n v="32"/>
    <n v="26"/>
    <n v="6"/>
    <n v="3.5"/>
    <x v="69"/>
    <n v="21"/>
    <n v="1.72"/>
    <n v="52.91"/>
    <n v="0.1875"/>
    <s v="No"/>
    <s v="Cloudy"/>
    <m/>
  </r>
  <r>
    <d v="2026-06-03T00:00:00"/>
    <x v="1"/>
    <s v="Wednesday"/>
    <s v="Main Street"/>
    <x v="9"/>
    <x v="3"/>
    <n v="108"/>
    <n v="100"/>
    <n v="8"/>
    <n v="2.4"/>
    <x v="129"/>
    <n v="19.2"/>
    <n v="2.02"/>
    <n v="118.81"/>
    <n v="7.4099999999999999E-2"/>
    <s v="No"/>
    <s v="Cloudy"/>
    <m/>
  </r>
  <r>
    <d v="2026-06-03T00:00:00"/>
    <x v="1"/>
    <s v="Wednesday"/>
    <s v="Main Street"/>
    <x v="10"/>
    <x v="3"/>
    <n v="65"/>
    <n v="58"/>
    <n v="7"/>
    <n v="1.8"/>
    <x v="130"/>
    <n v="12.6"/>
    <n v="1.26"/>
    <n v="82.86"/>
    <n v="0.1077"/>
    <s v="Yes"/>
    <s v="Cloudy"/>
    <s v="Promotion active"/>
  </r>
  <r>
    <d v="2026-06-03T00:00:00"/>
    <x v="1"/>
    <s v="Wednesday"/>
    <s v="Main Street"/>
    <x v="11"/>
    <x v="4"/>
    <n v="39"/>
    <n v="35"/>
    <n v="4"/>
    <n v="4.5999999999999996"/>
    <x v="35"/>
    <n v="18.399999999999999"/>
    <n v="2.54"/>
    <n v="63.39"/>
    <n v="0.1026"/>
    <s v="No"/>
    <s v="Cloudy"/>
    <m/>
  </r>
  <r>
    <d v="2026-06-03T00:00:00"/>
    <x v="1"/>
    <s v="Wednesday"/>
    <s v="Main Street"/>
    <x v="12"/>
    <x v="4"/>
    <n v="29"/>
    <n v="25"/>
    <n v="4"/>
    <n v="4.8"/>
    <x v="0"/>
    <n v="19.2"/>
    <n v="1.86"/>
    <n v="64.52"/>
    <n v="0.13789999999999999"/>
    <s v="No"/>
    <s v="Cloudy"/>
    <m/>
  </r>
  <r>
    <d v="2026-06-03T00:00:00"/>
    <x v="1"/>
    <s v="Wednesday"/>
    <s v="Riverside"/>
    <x v="0"/>
    <x v="0"/>
    <n v="52"/>
    <n v="49"/>
    <n v="3"/>
    <n v="2.5"/>
    <x v="65"/>
    <n v="7.5"/>
    <n v="2.54"/>
    <n v="48.23"/>
    <n v="5.7700000000000001E-2"/>
    <s v="No"/>
    <s v="Cloudy"/>
    <m/>
  </r>
  <r>
    <d v="2026-06-03T00:00:00"/>
    <x v="1"/>
    <s v="Wednesday"/>
    <s v="Riverside"/>
    <x v="1"/>
    <x v="0"/>
    <n v="49"/>
    <n v="37"/>
    <n v="12"/>
    <n v="2.8"/>
    <x v="56"/>
    <n v="33.6"/>
    <n v="2.4900000000000002"/>
    <n v="41.61"/>
    <n v="0.24490000000000001"/>
    <s v="Yes"/>
    <s v="Cloudy"/>
    <s v="Review production quantity"/>
  </r>
  <r>
    <d v="2026-06-03T00:00:00"/>
    <x v="1"/>
    <s v="Wednesday"/>
    <s v="Riverside"/>
    <x v="2"/>
    <x v="0"/>
    <n v="36"/>
    <n v="28"/>
    <n v="8"/>
    <n v="3.1"/>
    <x v="74"/>
    <n v="24.8"/>
    <n v="1.92"/>
    <n v="45.21"/>
    <n v="0.22220000000000001"/>
    <s v="No"/>
    <s v="Cloudy"/>
    <m/>
  </r>
  <r>
    <d v="2026-06-03T00:00:00"/>
    <x v="1"/>
    <s v="Wednesday"/>
    <s v="Riverside"/>
    <x v="3"/>
    <x v="1"/>
    <n v="26"/>
    <n v="23"/>
    <n v="3"/>
    <n v="4.2"/>
    <x v="110"/>
    <n v="12.6"/>
    <n v="2.17"/>
    <n v="44.52"/>
    <n v="0.1154"/>
    <s v="No"/>
    <s v="Cloudy"/>
    <m/>
  </r>
  <r>
    <d v="2026-06-03T00:00:00"/>
    <x v="1"/>
    <s v="Wednesday"/>
    <s v="Riverside"/>
    <x v="4"/>
    <x v="1"/>
    <n v="34"/>
    <n v="31"/>
    <n v="3"/>
    <n v="2.2999999999999998"/>
    <x v="17"/>
    <n v="6.9"/>
    <n v="2.5299999999999998"/>
    <n v="28.18"/>
    <n v="8.8200000000000001E-2"/>
    <s v="No"/>
    <s v="Cloudy"/>
    <m/>
  </r>
  <r>
    <d v="2026-06-03T00:00:00"/>
    <x v="1"/>
    <s v="Wednesday"/>
    <s v="Riverside"/>
    <x v="5"/>
    <x v="1"/>
    <n v="20"/>
    <n v="16"/>
    <n v="4"/>
    <n v="3.8"/>
    <x v="40"/>
    <n v="15.2"/>
    <n v="1.55"/>
    <n v="39.229999999999997"/>
    <n v="0.2"/>
    <s v="No"/>
    <s v="Cloudy"/>
    <m/>
  </r>
  <r>
    <d v="2026-06-03T00:00:00"/>
    <x v="1"/>
    <s v="Wednesday"/>
    <s v="Riverside"/>
    <x v="6"/>
    <x v="2"/>
    <n v="36"/>
    <n v="30"/>
    <n v="6"/>
    <n v="2.9"/>
    <x v="7"/>
    <n v="17.399999999999999"/>
    <n v="1.92"/>
    <n v="45.31"/>
    <n v="0.16669999999999999"/>
    <s v="No"/>
    <s v="Cloudy"/>
    <m/>
  </r>
  <r>
    <d v="2026-06-03T00:00:00"/>
    <x v="1"/>
    <s v="Wednesday"/>
    <s v="Riverside"/>
    <x v="7"/>
    <x v="2"/>
    <n v="27"/>
    <n v="26"/>
    <n v="1"/>
    <n v="3"/>
    <x v="31"/>
    <n v="3"/>
    <n v="1.61"/>
    <n v="48.45"/>
    <n v="3.6999999999999998E-2"/>
    <s v="No"/>
    <s v="Cloudy"/>
    <m/>
  </r>
  <r>
    <d v="2026-06-03T00:00:00"/>
    <x v="1"/>
    <s v="Wednesday"/>
    <s v="Riverside"/>
    <x v="8"/>
    <x v="2"/>
    <n v="23"/>
    <n v="20"/>
    <n v="3"/>
    <n v="3.5"/>
    <x v="131"/>
    <n v="10.5"/>
    <n v="1.45"/>
    <n v="48.28"/>
    <n v="0.13039999999999999"/>
    <s v="No"/>
    <s v="Cloudy"/>
    <m/>
  </r>
  <r>
    <d v="2026-06-03T00:00:00"/>
    <x v="1"/>
    <s v="Wednesday"/>
    <s v="Riverside"/>
    <x v="9"/>
    <x v="3"/>
    <n v="89"/>
    <n v="78"/>
    <n v="11"/>
    <n v="2.4"/>
    <x v="132"/>
    <n v="26.4"/>
    <n v="1.8"/>
    <n v="104"/>
    <n v="0.1236"/>
    <s v="Yes"/>
    <s v="Cloudy"/>
    <s v="Promotion active"/>
  </r>
  <r>
    <d v="2026-06-03T00:00:00"/>
    <x v="1"/>
    <s v="Wednesday"/>
    <s v="Riverside"/>
    <x v="10"/>
    <x v="3"/>
    <n v="48"/>
    <n v="44"/>
    <n v="4"/>
    <n v="1.8"/>
    <x v="10"/>
    <n v="7.2"/>
    <n v="1.05"/>
    <n v="75.430000000000007"/>
    <n v="8.3299999999999999E-2"/>
    <s v="No"/>
    <s v="Cloudy"/>
    <m/>
  </r>
  <r>
    <d v="2026-06-03T00:00:00"/>
    <x v="1"/>
    <s v="Wednesday"/>
    <s v="Riverside"/>
    <x v="11"/>
    <x v="4"/>
    <n v="31"/>
    <n v="28"/>
    <n v="3"/>
    <n v="4.5999999999999996"/>
    <x v="11"/>
    <n v="13.8"/>
    <n v="2.0299999999999998"/>
    <n v="63.45"/>
    <n v="9.6799999999999997E-2"/>
    <s v="No"/>
    <s v="Cloudy"/>
    <m/>
  </r>
  <r>
    <d v="2026-06-03T00:00:00"/>
    <x v="1"/>
    <s v="Wednesday"/>
    <s v="Riverside"/>
    <x v="12"/>
    <x v="4"/>
    <n v="20"/>
    <n v="18"/>
    <n v="2"/>
    <n v="4.8"/>
    <x v="43"/>
    <n v="9.6"/>
    <n v="1.54"/>
    <n v="56.1"/>
    <n v="0.1"/>
    <s v="No"/>
    <s v="Cloudy"/>
    <m/>
  </r>
  <r>
    <d v="2026-06-04T00:00:00"/>
    <x v="1"/>
    <s v="Thursday"/>
    <s v="Main Street"/>
    <x v="0"/>
    <x v="0"/>
    <n v="80"/>
    <n v="71"/>
    <n v="9"/>
    <n v="2.5"/>
    <x v="133"/>
    <n v="22.5"/>
    <n v="3.91"/>
    <n v="45.4"/>
    <n v="0.1125"/>
    <s v="No"/>
    <s v="Sunny"/>
    <s v="Strong demand"/>
  </r>
  <r>
    <d v="2026-06-04T00:00:00"/>
    <x v="1"/>
    <s v="Thursday"/>
    <s v="Main Street"/>
    <x v="1"/>
    <x v="0"/>
    <n v="58"/>
    <n v="48"/>
    <n v="10"/>
    <n v="2.8"/>
    <x v="47"/>
    <n v="28"/>
    <n v="2.88"/>
    <n v="46.67"/>
    <n v="0.1724"/>
    <s v="No"/>
    <s v="Sunny"/>
    <s v="Review production quantity"/>
  </r>
  <r>
    <d v="2026-06-04T00:00:00"/>
    <x v="1"/>
    <s v="Thursday"/>
    <s v="Main Street"/>
    <x v="2"/>
    <x v="0"/>
    <n v="51"/>
    <n v="36"/>
    <n v="15"/>
    <n v="3.1"/>
    <x v="26"/>
    <n v="46.5"/>
    <n v="2.37"/>
    <n v="47.09"/>
    <n v="0.29409999999999997"/>
    <s v="No"/>
    <s v="Sunny"/>
    <s v="Review production quantity"/>
  </r>
  <r>
    <d v="2026-06-04T00:00:00"/>
    <x v="1"/>
    <s v="Thursday"/>
    <s v="Main Street"/>
    <x v="3"/>
    <x v="1"/>
    <n v="43"/>
    <n v="37"/>
    <n v="6"/>
    <n v="4.2"/>
    <x v="82"/>
    <n v="25.2"/>
    <n v="3.28"/>
    <n v="47.38"/>
    <n v="0.13950000000000001"/>
    <s v="No"/>
    <s v="Sunny"/>
    <s v="Strong demand"/>
  </r>
  <r>
    <d v="2026-06-04T00:00:00"/>
    <x v="1"/>
    <s v="Thursday"/>
    <s v="Main Street"/>
    <x v="4"/>
    <x v="1"/>
    <n v="50"/>
    <n v="47"/>
    <n v="3"/>
    <n v="2.2999999999999998"/>
    <x v="48"/>
    <n v="6.9"/>
    <n v="3.81"/>
    <n v="28.37"/>
    <n v="0.06"/>
    <s v="No"/>
    <s v="Sunny"/>
    <m/>
  </r>
  <r>
    <d v="2026-06-04T00:00:00"/>
    <x v="1"/>
    <s v="Thursday"/>
    <s v="Main Street"/>
    <x v="5"/>
    <x v="1"/>
    <n v="29"/>
    <n v="26"/>
    <n v="3"/>
    <n v="3.8"/>
    <x v="134"/>
    <n v="11.4"/>
    <n v="2.09"/>
    <n v="47.27"/>
    <n v="0.10340000000000001"/>
    <s v="No"/>
    <s v="Sunny"/>
    <s v="Strong demand"/>
  </r>
  <r>
    <d v="2026-06-04T00:00:00"/>
    <x v="1"/>
    <s v="Thursday"/>
    <s v="Main Street"/>
    <x v="6"/>
    <x v="2"/>
    <n v="49"/>
    <n v="42"/>
    <n v="7"/>
    <n v="2.9"/>
    <x v="27"/>
    <n v="20.3"/>
    <n v="2.54"/>
    <n v="47.95"/>
    <n v="0.1429"/>
    <s v="No"/>
    <s v="Sunny"/>
    <m/>
  </r>
  <r>
    <d v="2026-06-04T00:00:00"/>
    <x v="1"/>
    <s v="Thursday"/>
    <s v="Main Street"/>
    <x v="7"/>
    <x v="2"/>
    <n v="43"/>
    <n v="38"/>
    <n v="5"/>
    <n v="3"/>
    <x v="135"/>
    <n v="15"/>
    <n v="2.25"/>
    <n v="50.67"/>
    <n v="0.1163"/>
    <s v="No"/>
    <s v="Sunny"/>
    <m/>
  </r>
  <r>
    <d v="2026-06-04T00:00:00"/>
    <x v="1"/>
    <s v="Thursday"/>
    <s v="Main Street"/>
    <x v="8"/>
    <x v="2"/>
    <n v="36"/>
    <n v="30"/>
    <n v="6"/>
    <n v="3.5"/>
    <x v="58"/>
    <n v="21"/>
    <n v="1.92"/>
    <n v="54.69"/>
    <n v="0.16669999999999999"/>
    <s v="No"/>
    <s v="Sunny"/>
    <m/>
  </r>
  <r>
    <d v="2026-06-04T00:00:00"/>
    <x v="1"/>
    <s v="Thursday"/>
    <s v="Main Street"/>
    <x v="9"/>
    <x v="3"/>
    <n v="132"/>
    <n v="126"/>
    <n v="6"/>
    <n v="2.4"/>
    <x v="136"/>
    <n v="14.4"/>
    <n v="2.5"/>
    <n v="120.96"/>
    <n v="4.5499999999999999E-2"/>
    <s v="Yes"/>
    <s v="Sunny"/>
    <s v="Strong demand"/>
  </r>
  <r>
    <d v="2026-06-04T00:00:00"/>
    <x v="1"/>
    <s v="Thursday"/>
    <s v="Main Street"/>
    <x v="10"/>
    <x v="3"/>
    <n v="64"/>
    <n v="64"/>
    <n v="0"/>
    <n v="1.8"/>
    <x v="89"/>
    <n v="0"/>
    <n v="1.47"/>
    <n v="78.37"/>
    <n v="0"/>
    <s v="No"/>
    <s v="Sunny"/>
    <m/>
  </r>
  <r>
    <d v="2026-06-04T00:00:00"/>
    <x v="1"/>
    <s v="Thursday"/>
    <s v="Main Street"/>
    <x v="11"/>
    <x v="4"/>
    <n v="42"/>
    <n v="38"/>
    <n v="4"/>
    <n v="4.5999999999999996"/>
    <x v="53"/>
    <n v="18.399999999999999"/>
    <n v="2.67"/>
    <n v="65.47"/>
    <n v="9.5200000000000007E-2"/>
    <s v="No"/>
    <s v="Sunny"/>
    <m/>
  </r>
  <r>
    <d v="2026-06-04T00:00:00"/>
    <x v="1"/>
    <s v="Thursday"/>
    <s v="Main Street"/>
    <x v="12"/>
    <x v="4"/>
    <n v="32"/>
    <n v="26"/>
    <n v="6"/>
    <n v="4.8"/>
    <x v="137"/>
    <n v="28.8"/>
    <n v="2.0499999999999998"/>
    <n v="60.88"/>
    <n v="0.1875"/>
    <s v="No"/>
    <s v="Sunny"/>
    <m/>
  </r>
  <r>
    <d v="2026-06-04T00:00:00"/>
    <x v="1"/>
    <s v="Thursday"/>
    <s v="Riverside"/>
    <x v="0"/>
    <x v="0"/>
    <n v="58"/>
    <n v="50"/>
    <n v="8"/>
    <n v="2.5"/>
    <x v="138"/>
    <n v="20"/>
    <n v="2.8"/>
    <n v="44.64"/>
    <n v="0.13789999999999999"/>
    <s v="No"/>
    <s v="Sunny"/>
    <m/>
  </r>
  <r>
    <d v="2026-06-04T00:00:00"/>
    <x v="1"/>
    <s v="Thursday"/>
    <s v="Riverside"/>
    <x v="1"/>
    <x v="0"/>
    <n v="47"/>
    <n v="40"/>
    <n v="7"/>
    <n v="2.8"/>
    <x v="51"/>
    <n v="19.600000000000001"/>
    <n v="2.46"/>
    <n v="45.53"/>
    <n v="0.1489"/>
    <s v="No"/>
    <s v="Sunny"/>
    <m/>
  </r>
  <r>
    <d v="2026-06-04T00:00:00"/>
    <x v="1"/>
    <s v="Thursday"/>
    <s v="Riverside"/>
    <x v="2"/>
    <x v="0"/>
    <n v="41"/>
    <n v="33"/>
    <n v="8"/>
    <n v="3.1"/>
    <x v="57"/>
    <n v="24.8"/>
    <n v="1.98"/>
    <n v="51.67"/>
    <n v="0.1951"/>
    <s v="No"/>
    <s v="Sunny"/>
    <m/>
  </r>
  <r>
    <d v="2026-06-04T00:00:00"/>
    <x v="1"/>
    <s v="Thursday"/>
    <s v="Riverside"/>
    <x v="3"/>
    <x v="1"/>
    <n v="32"/>
    <n v="28"/>
    <n v="4"/>
    <n v="4.2"/>
    <x v="124"/>
    <n v="16.8"/>
    <n v="2.2999999999999998"/>
    <n v="51.13"/>
    <n v="0.125"/>
    <s v="No"/>
    <s v="Sunny"/>
    <m/>
  </r>
  <r>
    <d v="2026-06-04T00:00:00"/>
    <x v="1"/>
    <s v="Thursday"/>
    <s v="Riverside"/>
    <x v="4"/>
    <x v="1"/>
    <n v="42"/>
    <n v="39"/>
    <n v="3"/>
    <n v="2.2999999999999998"/>
    <x v="139"/>
    <n v="6.9"/>
    <n v="3.08"/>
    <n v="29.12"/>
    <n v="7.1400000000000005E-2"/>
    <s v="No"/>
    <s v="Sunny"/>
    <s v="Strong demand"/>
  </r>
  <r>
    <d v="2026-06-04T00:00:00"/>
    <x v="1"/>
    <s v="Thursday"/>
    <s v="Riverside"/>
    <x v="5"/>
    <x v="1"/>
    <n v="23"/>
    <n v="18"/>
    <n v="5"/>
    <n v="3.8"/>
    <x v="114"/>
    <n v="19"/>
    <n v="1.85"/>
    <n v="36.97"/>
    <n v="0.21740000000000001"/>
    <s v="No"/>
    <s v="Sunny"/>
    <m/>
  </r>
  <r>
    <d v="2026-06-04T00:00:00"/>
    <x v="1"/>
    <s v="Thursday"/>
    <s v="Riverside"/>
    <x v="6"/>
    <x v="2"/>
    <n v="41"/>
    <n v="36"/>
    <n v="5"/>
    <n v="2.9"/>
    <x v="130"/>
    <n v="14.5"/>
    <n v="2.2999999999999998"/>
    <n v="45.39"/>
    <n v="0.122"/>
    <s v="No"/>
    <s v="Sunny"/>
    <m/>
  </r>
  <r>
    <d v="2026-06-04T00:00:00"/>
    <x v="1"/>
    <s v="Thursday"/>
    <s v="Riverside"/>
    <x v="7"/>
    <x v="2"/>
    <n v="34"/>
    <n v="31"/>
    <n v="3"/>
    <n v="3"/>
    <x v="128"/>
    <n v="9"/>
    <n v="1.94"/>
    <n v="47.94"/>
    <n v="8.8200000000000001E-2"/>
    <s v="No"/>
    <s v="Sunny"/>
    <s v="Strong demand"/>
  </r>
  <r>
    <d v="2026-06-04T00:00:00"/>
    <x v="1"/>
    <s v="Thursday"/>
    <s v="Riverside"/>
    <x v="8"/>
    <x v="2"/>
    <n v="26"/>
    <n v="23"/>
    <n v="3"/>
    <n v="3.5"/>
    <x v="32"/>
    <n v="10.5"/>
    <n v="1.57"/>
    <n v="51.27"/>
    <n v="0.1154"/>
    <s v="No"/>
    <s v="Sunny"/>
    <m/>
  </r>
  <r>
    <d v="2026-06-04T00:00:00"/>
    <x v="1"/>
    <s v="Thursday"/>
    <s v="Riverside"/>
    <x v="9"/>
    <x v="3"/>
    <n v="97"/>
    <n v="94"/>
    <n v="3"/>
    <n v="2.4"/>
    <x v="140"/>
    <n v="7.2"/>
    <n v="1.85"/>
    <n v="121.95"/>
    <n v="3.09E-2"/>
    <s v="No"/>
    <s v="Sunny"/>
    <m/>
  </r>
  <r>
    <d v="2026-06-04T00:00:00"/>
    <x v="1"/>
    <s v="Thursday"/>
    <s v="Riverside"/>
    <x v="10"/>
    <x v="3"/>
    <n v="54"/>
    <n v="52"/>
    <n v="2"/>
    <n v="1.8"/>
    <x v="141"/>
    <n v="3.6"/>
    <n v="1.18"/>
    <n v="79.319999999999993"/>
    <n v="3.6999999999999998E-2"/>
    <s v="No"/>
    <s v="Sunny"/>
    <s v="Strong demand"/>
  </r>
  <r>
    <d v="2026-06-04T00:00:00"/>
    <x v="1"/>
    <s v="Thursday"/>
    <s v="Riverside"/>
    <x v="11"/>
    <x v="4"/>
    <n v="42"/>
    <n v="32"/>
    <n v="10"/>
    <n v="4.5999999999999996"/>
    <x v="72"/>
    <n v="46"/>
    <n v="2.82"/>
    <n v="52.2"/>
    <n v="0.23810000000000001"/>
    <s v="Yes"/>
    <s v="Sunny"/>
    <s v="Review production quantity"/>
  </r>
  <r>
    <d v="2026-06-04T00:00:00"/>
    <x v="1"/>
    <s v="Thursday"/>
    <s v="Riverside"/>
    <x v="12"/>
    <x v="4"/>
    <n v="26"/>
    <n v="22"/>
    <n v="4"/>
    <n v="4.8"/>
    <x v="142"/>
    <n v="19.2"/>
    <n v="1.71"/>
    <n v="61.75"/>
    <n v="0.15379999999999999"/>
    <s v="No"/>
    <s v="Sunny"/>
    <m/>
  </r>
  <r>
    <d v="2026-06-05T00:00:00"/>
    <x v="1"/>
    <s v="Friday"/>
    <s v="Main Street"/>
    <x v="0"/>
    <x v="0"/>
    <n v="97"/>
    <n v="97"/>
    <n v="0"/>
    <n v="2.5"/>
    <x v="143"/>
    <n v="0"/>
    <n v="4.67"/>
    <n v="51.93"/>
    <n v="0"/>
    <s v="Yes"/>
    <s v="Sunny"/>
    <s v="Strong demand"/>
  </r>
  <r>
    <d v="2026-06-05T00:00:00"/>
    <x v="1"/>
    <s v="Friday"/>
    <s v="Main Street"/>
    <x v="1"/>
    <x v="0"/>
    <n v="77"/>
    <n v="66"/>
    <n v="11"/>
    <n v="2.8"/>
    <x v="144"/>
    <n v="30.8"/>
    <n v="3.76"/>
    <n v="49.15"/>
    <n v="0.1429"/>
    <s v="No"/>
    <s v="Sunny"/>
    <s v="Review production quantity"/>
  </r>
  <r>
    <d v="2026-06-05T00:00:00"/>
    <x v="1"/>
    <s v="Friday"/>
    <s v="Main Street"/>
    <x v="2"/>
    <x v="0"/>
    <n v="61"/>
    <n v="43"/>
    <n v="18"/>
    <n v="3.1"/>
    <x v="145"/>
    <n v="55.8"/>
    <n v="2.96"/>
    <n v="45.03"/>
    <n v="0.29509999999999997"/>
    <s v="No"/>
    <s v="Sunny"/>
    <s v="Review production quantity"/>
  </r>
  <r>
    <d v="2026-06-05T00:00:00"/>
    <x v="1"/>
    <s v="Friday"/>
    <s v="Main Street"/>
    <x v="3"/>
    <x v="1"/>
    <n v="49"/>
    <n v="42"/>
    <n v="7"/>
    <n v="4.2"/>
    <x v="146"/>
    <n v="29.4"/>
    <n v="3.66"/>
    <n v="48.2"/>
    <n v="0.1429"/>
    <s v="No"/>
    <s v="Sunny"/>
    <s v="Strong demand"/>
  </r>
  <r>
    <d v="2026-06-05T00:00:00"/>
    <x v="1"/>
    <s v="Friday"/>
    <s v="Main Street"/>
    <x v="4"/>
    <x v="1"/>
    <n v="69"/>
    <n v="50"/>
    <n v="19"/>
    <n v="2.2999999999999998"/>
    <x v="13"/>
    <n v="43.7"/>
    <n v="4.95"/>
    <n v="23.23"/>
    <n v="0.27539999999999998"/>
    <s v="No"/>
    <s v="Sunny"/>
    <s v="Review production quantity"/>
  </r>
  <r>
    <d v="2026-06-05T00:00:00"/>
    <x v="1"/>
    <s v="Friday"/>
    <s v="Main Street"/>
    <x v="5"/>
    <x v="1"/>
    <n v="36"/>
    <n v="29"/>
    <n v="7"/>
    <n v="3.8"/>
    <x v="30"/>
    <n v="26.6"/>
    <n v="2.84"/>
    <n v="38.799999999999997"/>
    <n v="0.19439999999999999"/>
    <s v="No"/>
    <s v="Sunny"/>
    <s v="Strong demand"/>
  </r>
  <r>
    <d v="2026-06-05T00:00:00"/>
    <x v="1"/>
    <s v="Friday"/>
    <s v="Main Street"/>
    <x v="6"/>
    <x v="2"/>
    <n v="56"/>
    <n v="55"/>
    <n v="1"/>
    <n v="2.9"/>
    <x v="147"/>
    <n v="2.9"/>
    <n v="3.12"/>
    <n v="51.12"/>
    <n v="1.7899999999999999E-2"/>
    <s v="No"/>
    <s v="Sunny"/>
    <s v="Strong demand"/>
  </r>
  <r>
    <d v="2026-06-05T00:00:00"/>
    <x v="1"/>
    <s v="Friday"/>
    <s v="Main Street"/>
    <x v="7"/>
    <x v="2"/>
    <n v="50"/>
    <n v="39"/>
    <n v="11"/>
    <n v="3"/>
    <x v="148"/>
    <n v="33"/>
    <n v="2.83"/>
    <n v="41.34"/>
    <n v="0.22"/>
    <s v="No"/>
    <s v="Sunny"/>
    <s v="Review production quantity"/>
  </r>
  <r>
    <d v="2026-06-05T00:00:00"/>
    <x v="1"/>
    <s v="Friday"/>
    <s v="Main Street"/>
    <x v="8"/>
    <x v="2"/>
    <n v="40"/>
    <n v="31"/>
    <n v="9"/>
    <n v="3.5"/>
    <x v="149"/>
    <n v="31.5"/>
    <n v="2.3199999999999998"/>
    <n v="46.77"/>
    <n v="0.22500000000000001"/>
    <s v="No"/>
    <s v="Sunny"/>
    <s v="Strong demand"/>
  </r>
  <r>
    <d v="2026-06-05T00:00:00"/>
    <x v="1"/>
    <s v="Friday"/>
    <s v="Main Street"/>
    <x v="9"/>
    <x v="3"/>
    <n v="149"/>
    <n v="141"/>
    <n v="8"/>
    <n v="2.4"/>
    <x v="150"/>
    <n v="19.2"/>
    <n v="2.95"/>
    <n v="114.71"/>
    <n v="5.3699999999999998E-2"/>
    <s v="No"/>
    <s v="Sunny"/>
    <s v="Strong demand"/>
  </r>
  <r>
    <d v="2026-06-05T00:00:00"/>
    <x v="1"/>
    <s v="Friday"/>
    <s v="Main Street"/>
    <x v="10"/>
    <x v="3"/>
    <n v="89"/>
    <n v="85"/>
    <n v="4"/>
    <n v="1.8"/>
    <x v="151"/>
    <n v="7.2"/>
    <n v="1.7"/>
    <n v="90"/>
    <n v="4.4900000000000002E-2"/>
    <s v="Yes"/>
    <s v="Sunny"/>
    <s v="Strong demand"/>
  </r>
  <r>
    <d v="2026-06-05T00:00:00"/>
    <x v="1"/>
    <s v="Friday"/>
    <s v="Main Street"/>
    <x v="11"/>
    <x v="4"/>
    <n v="50"/>
    <n v="46"/>
    <n v="4"/>
    <n v="4.5999999999999996"/>
    <x v="152"/>
    <n v="18.399999999999999"/>
    <n v="3.17"/>
    <n v="66.75"/>
    <n v="0.08"/>
    <s v="No"/>
    <s v="Sunny"/>
    <s v="Strong demand"/>
  </r>
  <r>
    <d v="2026-06-05T00:00:00"/>
    <x v="1"/>
    <s v="Friday"/>
    <s v="Main Street"/>
    <x v="12"/>
    <x v="4"/>
    <n v="38"/>
    <n v="34"/>
    <n v="4"/>
    <n v="4.8"/>
    <x v="153"/>
    <n v="19.2"/>
    <n v="2.46"/>
    <n v="66.34"/>
    <n v="0.1053"/>
    <s v="Yes"/>
    <s v="Sunny"/>
    <s v="Strong demand"/>
  </r>
  <r>
    <d v="2026-06-05T00:00:00"/>
    <x v="1"/>
    <s v="Friday"/>
    <s v="Riverside"/>
    <x v="0"/>
    <x v="0"/>
    <n v="87"/>
    <n v="63"/>
    <n v="24"/>
    <n v="2.5"/>
    <x v="91"/>
    <n v="60"/>
    <n v="4.17"/>
    <n v="37.770000000000003"/>
    <n v="0.27589999999999998"/>
    <s v="Yes"/>
    <s v="Sunny"/>
    <s v="Review production quantity"/>
  </r>
  <r>
    <d v="2026-06-05T00:00:00"/>
    <x v="1"/>
    <s v="Friday"/>
    <s v="Riverside"/>
    <x v="1"/>
    <x v="0"/>
    <n v="61"/>
    <n v="46"/>
    <n v="15"/>
    <n v="2.8"/>
    <x v="11"/>
    <n v="42"/>
    <n v="2.91"/>
    <n v="44.26"/>
    <n v="0.24590000000000001"/>
    <s v="No"/>
    <s v="Sunny"/>
    <s v="Review production quantity"/>
  </r>
  <r>
    <d v="2026-06-05T00:00:00"/>
    <x v="1"/>
    <s v="Friday"/>
    <s v="Riverside"/>
    <x v="2"/>
    <x v="0"/>
    <n v="42"/>
    <n v="41"/>
    <n v="1"/>
    <n v="3.1"/>
    <x v="154"/>
    <n v="3.1"/>
    <n v="2.08"/>
    <n v="61.11"/>
    <n v="2.3800000000000002E-2"/>
    <s v="No"/>
    <s v="Sunny"/>
    <s v="Strong demand"/>
  </r>
  <r>
    <d v="2026-06-05T00:00:00"/>
    <x v="1"/>
    <s v="Friday"/>
    <s v="Riverside"/>
    <x v="3"/>
    <x v="1"/>
    <n v="38"/>
    <n v="32"/>
    <n v="6"/>
    <n v="4.2"/>
    <x v="47"/>
    <n v="25.2"/>
    <n v="2.72"/>
    <n v="49.41"/>
    <n v="0.15790000000000001"/>
    <s v="No"/>
    <s v="Sunny"/>
    <s v="Strong demand"/>
  </r>
  <r>
    <d v="2026-06-05T00:00:00"/>
    <x v="1"/>
    <s v="Friday"/>
    <s v="Riverside"/>
    <x v="4"/>
    <x v="1"/>
    <n v="48"/>
    <n v="39"/>
    <n v="9"/>
    <n v="2.2999999999999998"/>
    <x v="139"/>
    <n v="20.7"/>
    <n v="3.58"/>
    <n v="25.06"/>
    <n v="0.1875"/>
    <s v="No"/>
    <s v="Sunny"/>
    <s v="Strong demand"/>
  </r>
  <r>
    <d v="2026-06-05T00:00:00"/>
    <x v="1"/>
    <s v="Friday"/>
    <s v="Riverside"/>
    <x v="5"/>
    <x v="1"/>
    <n v="28"/>
    <n v="21"/>
    <n v="7"/>
    <n v="3.8"/>
    <x v="29"/>
    <n v="26.6"/>
    <n v="2.0699999999999998"/>
    <n v="38.549999999999997"/>
    <n v="0.25"/>
    <s v="No"/>
    <s v="Sunny"/>
    <s v="Strong demand"/>
  </r>
  <r>
    <d v="2026-06-05T00:00:00"/>
    <x v="1"/>
    <s v="Friday"/>
    <s v="Riverside"/>
    <x v="6"/>
    <x v="2"/>
    <n v="52"/>
    <n v="42"/>
    <n v="10"/>
    <n v="2.9"/>
    <x v="27"/>
    <n v="29"/>
    <n v="2.92"/>
    <n v="41.71"/>
    <n v="0.1923"/>
    <s v="Yes"/>
    <s v="Sunny"/>
    <s v="Review production quantity"/>
  </r>
  <r>
    <d v="2026-06-05T00:00:00"/>
    <x v="1"/>
    <s v="Friday"/>
    <s v="Riverside"/>
    <x v="7"/>
    <x v="2"/>
    <n v="42"/>
    <n v="31"/>
    <n v="11"/>
    <n v="3"/>
    <x v="128"/>
    <n v="33"/>
    <n v="2.19"/>
    <n v="42.47"/>
    <n v="0.26190000000000002"/>
    <s v="No"/>
    <s v="Sunny"/>
    <s v="Review production quantity"/>
  </r>
  <r>
    <d v="2026-06-05T00:00:00"/>
    <x v="1"/>
    <s v="Friday"/>
    <s v="Riverside"/>
    <x v="8"/>
    <x v="2"/>
    <n v="30"/>
    <n v="28"/>
    <n v="2"/>
    <n v="3.5"/>
    <x v="37"/>
    <n v="7"/>
    <n v="1.56"/>
    <n v="62.82"/>
    <n v="6.6699999999999995E-2"/>
    <s v="No"/>
    <s v="Sunny"/>
    <s v="Strong demand"/>
  </r>
  <r>
    <d v="2026-06-05T00:00:00"/>
    <x v="1"/>
    <s v="Friday"/>
    <s v="Riverside"/>
    <x v="9"/>
    <x v="3"/>
    <n v="115"/>
    <n v="100"/>
    <n v="15"/>
    <n v="2.4"/>
    <x v="129"/>
    <n v="36"/>
    <n v="2.2200000000000002"/>
    <n v="108.11"/>
    <n v="0.13039999999999999"/>
    <s v="No"/>
    <s v="Sunny"/>
    <s v="Strong demand"/>
  </r>
  <r>
    <d v="2026-06-05T00:00:00"/>
    <x v="1"/>
    <s v="Friday"/>
    <s v="Riverside"/>
    <x v="10"/>
    <x v="3"/>
    <n v="60"/>
    <n v="59"/>
    <n v="1"/>
    <n v="1.8"/>
    <x v="155"/>
    <n v="1.8"/>
    <n v="1.29"/>
    <n v="82.33"/>
    <n v="1.67E-2"/>
    <s v="No"/>
    <s v="Sunny"/>
    <s v="Strong demand"/>
  </r>
  <r>
    <d v="2026-06-05T00:00:00"/>
    <x v="1"/>
    <s v="Friday"/>
    <s v="Riverside"/>
    <x v="11"/>
    <x v="4"/>
    <n v="42"/>
    <n v="38"/>
    <n v="4"/>
    <n v="4.5999999999999996"/>
    <x v="53"/>
    <n v="18.399999999999999"/>
    <n v="2.72"/>
    <n v="64.260000000000005"/>
    <n v="9.5200000000000007E-2"/>
    <s v="No"/>
    <s v="Sunny"/>
    <s v="Strong demand"/>
  </r>
  <r>
    <d v="2026-06-05T00:00:00"/>
    <x v="1"/>
    <s v="Friday"/>
    <s v="Riverside"/>
    <x v="12"/>
    <x v="4"/>
    <n v="29"/>
    <n v="27"/>
    <n v="2"/>
    <n v="4.8"/>
    <x v="156"/>
    <n v="9.6"/>
    <n v="1.8"/>
    <n v="72"/>
    <n v="6.9000000000000006E-2"/>
    <s v="No"/>
    <s v="Sunny"/>
    <s v="Strong demand"/>
  </r>
  <r>
    <d v="2026-06-08T00:00:00"/>
    <x v="2"/>
    <s v="Monday"/>
    <s v="Main Street"/>
    <x v="0"/>
    <x v="0"/>
    <n v="60"/>
    <n v="50"/>
    <n v="10"/>
    <n v="2.5"/>
    <x v="138"/>
    <n v="25"/>
    <n v="3.04"/>
    <n v="41.12"/>
    <n v="0.16669999999999999"/>
    <s v="Yes"/>
    <s v="Rainy"/>
    <s v="Review production quantity"/>
  </r>
  <r>
    <d v="2026-06-08T00:00:00"/>
    <x v="2"/>
    <s v="Monday"/>
    <s v="Main Street"/>
    <x v="1"/>
    <x v="0"/>
    <n v="41"/>
    <n v="34"/>
    <n v="7"/>
    <n v="2.8"/>
    <x v="112"/>
    <n v="19.600000000000001"/>
    <n v="2.1"/>
    <n v="45.33"/>
    <n v="0.17069999999999999"/>
    <s v="No"/>
    <s v="Rainy"/>
    <m/>
  </r>
  <r>
    <d v="2026-06-08T00:00:00"/>
    <x v="2"/>
    <s v="Monday"/>
    <s v="Main Street"/>
    <x v="2"/>
    <x v="0"/>
    <n v="35"/>
    <n v="25"/>
    <n v="10"/>
    <n v="3.1"/>
    <x v="75"/>
    <n v="31"/>
    <n v="1.65"/>
    <n v="46.97"/>
    <n v="0.28570000000000001"/>
    <s v="No"/>
    <s v="Rainy"/>
    <s v="Review production quantity"/>
  </r>
  <r>
    <d v="2026-06-08T00:00:00"/>
    <x v="2"/>
    <s v="Monday"/>
    <s v="Main Street"/>
    <x v="3"/>
    <x v="1"/>
    <n v="25"/>
    <n v="22"/>
    <n v="3"/>
    <n v="4.2"/>
    <x v="119"/>
    <n v="12.6"/>
    <n v="1.99"/>
    <n v="46.43"/>
    <n v="0.12"/>
    <s v="No"/>
    <s v="Rainy"/>
    <m/>
  </r>
  <r>
    <d v="2026-06-08T00:00:00"/>
    <x v="2"/>
    <s v="Monday"/>
    <s v="Main Street"/>
    <x v="4"/>
    <x v="1"/>
    <n v="36"/>
    <n v="35"/>
    <n v="1"/>
    <n v="2.2999999999999998"/>
    <x v="32"/>
    <n v="2.2999999999999998"/>
    <n v="2.73"/>
    <n v="29.49"/>
    <n v="2.7799999999999998E-2"/>
    <s v="No"/>
    <s v="Rainy"/>
    <m/>
  </r>
  <r>
    <d v="2026-06-08T00:00:00"/>
    <x v="2"/>
    <s v="Monday"/>
    <s v="Main Street"/>
    <x v="5"/>
    <x v="1"/>
    <n v="20"/>
    <n v="15"/>
    <n v="5"/>
    <n v="3.8"/>
    <x v="157"/>
    <n v="19"/>
    <n v="1.66"/>
    <n v="34.340000000000003"/>
    <n v="0.25"/>
    <s v="No"/>
    <s v="Rainy"/>
    <m/>
  </r>
  <r>
    <d v="2026-06-08T00:00:00"/>
    <x v="2"/>
    <s v="Monday"/>
    <s v="Main Street"/>
    <x v="6"/>
    <x v="2"/>
    <n v="36"/>
    <n v="31"/>
    <n v="5"/>
    <n v="2.9"/>
    <x v="6"/>
    <n v="14.5"/>
    <n v="2.0699999999999998"/>
    <n v="43.43"/>
    <n v="0.1389"/>
    <s v="No"/>
    <s v="Rainy"/>
    <m/>
  </r>
  <r>
    <d v="2026-06-08T00:00:00"/>
    <x v="2"/>
    <s v="Monday"/>
    <s v="Main Street"/>
    <x v="7"/>
    <x v="2"/>
    <n v="29"/>
    <n v="23"/>
    <n v="6"/>
    <n v="3"/>
    <x v="98"/>
    <n v="18"/>
    <n v="1.6"/>
    <n v="43.12"/>
    <n v="0.2069"/>
    <s v="No"/>
    <s v="Rainy"/>
    <m/>
  </r>
  <r>
    <d v="2026-06-08T00:00:00"/>
    <x v="2"/>
    <s v="Monday"/>
    <s v="Main Street"/>
    <x v="8"/>
    <x v="2"/>
    <n v="23"/>
    <n v="18"/>
    <n v="5"/>
    <n v="3.5"/>
    <x v="21"/>
    <n v="17.5"/>
    <n v="1.33"/>
    <n v="47.37"/>
    <n v="0.21740000000000001"/>
    <s v="No"/>
    <s v="Rainy"/>
    <m/>
  </r>
  <r>
    <d v="2026-06-08T00:00:00"/>
    <x v="2"/>
    <s v="Monday"/>
    <s v="Main Street"/>
    <x v="9"/>
    <x v="3"/>
    <n v="80"/>
    <n v="72"/>
    <n v="8"/>
    <n v="2.4"/>
    <x v="22"/>
    <n v="19.2"/>
    <n v="1.77"/>
    <n v="97.63"/>
    <n v="0.1"/>
    <s v="No"/>
    <s v="Rainy"/>
    <m/>
  </r>
  <r>
    <d v="2026-06-08T00:00:00"/>
    <x v="2"/>
    <s v="Monday"/>
    <s v="Main Street"/>
    <x v="10"/>
    <x v="3"/>
    <n v="43"/>
    <n v="37"/>
    <n v="6"/>
    <n v="1.8"/>
    <x v="158"/>
    <n v="10.8"/>
    <n v="0.85"/>
    <n v="78.349999999999994"/>
    <n v="0.13950000000000001"/>
    <s v="No"/>
    <s v="Rainy"/>
    <m/>
  </r>
  <r>
    <d v="2026-06-08T00:00:00"/>
    <x v="2"/>
    <s v="Monday"/>
    <s v="Main Street"/>
    <x v="11"/>
    <x v="4"/>
    <n v="33"/>
    <n v="27"/>
    <n v="6"/>
    <n v="4.5999999999999996"/>
    <x v="83"/>
    <n v="27.6"/>
    <n v="2.21"/>
    <n v="56.2"/>
    <n v="0.18179999999999999"/>
    <s v="No"/>
    <s v="Rainy"/>
    <m/>
  </r>
  <r>
    <d v="2026-06-08T00:00:00"/>
    <x v="2"/>
    <s v="Monday"/>
    <s v="Main Street"/>
    <x v="12"/>
    <x v="4"/>
    <n v="21"/>
    <n v="17"/>
    <n v="4"/>
    <n v="4.8"/>
    <x v="159"/>
    <n v="19.2"/>
    <n v="1.42"/>
    <n v="57.46"/>
    <n v="0.1905"/>
    <s v="No"/>
    <s v="Rainy"/>
    <m/>
  </r>
  <r>
    <d v="2026-06-08T00:00:00"/>
    <x v="2"/>
    <s v="Monday"/>
    <s v="Riverside"/>
    <x v="0"/>
    <x v="0"/>
    <n v="44"/>
    <n v="38"/>
    <n v="6"/>
    <n v="2.5"/>
    <x v="36"/>
    <n v="15"/>
    <n v="2.25"/>
    <n v="42.22"/>
    <n v="0.13639999999999999"/>
    <s v="No"/>
    <s v="Rainy"/>
    <m/>
  </r>
  <r>
    <d v="2026-06-08T00:00:00"/>
    <x v="2"/>
    <s v="Monday"/>
    <s v="Riverside"/>
    <x v="1"/>
    <x v="0"/>
    <n v="37"/>
    <n v="29"/>
    <n v="8"/>
    <n v="2.8"/>
    <x v="102"/>
    <n v="22.4"/>
    <n v="1.89"/>
    <n v="42.96"/>
    <n v="0.2162"/>
    <s v="Yes"/>
    <s v="Rainy"/>
    <s v="Promotion active"/>
  </r>
  <r>
    <d v="2026-06-08T00:00:00"/>
    <x v="2"/>
    <s v="Monday"/>
    <s v="Riverside"/>
    <x v="2"/>
    <x v="0"/>
    <n v="27"/>
    <n v="21"/>
    <n v="6"/>
    <n v="3.1"/>
    <x v="103"/>
    <n v="18.600000000000001"/>
    <n v="1.3"/>
    <n v="50.08"/>
    <n v="0.22220000000000001"/>
    <s v="No"/>
    <s v="Rainy"/>
    <m/>
  </r>
  <r>
    <d v="2026-06-08T00:00:00"/>
    <x v="2"/>
    <s v="Monday"/>
    <s v="Riverside"/>
    <x v="3"/>
    <x v="1"/>
    <n v="21"/>
    <n v="19"/>
    <n v="2"/>
    <n v="4.2"/>
    <x v="29"/>
    <n v="8.4"/>
    <n v="1.69"/>
    <n v="47.22"/>
    <n v="9.5200000000000007E-2"/>
    <s v="No"/>
    <s v="Rainy"/>
    <m/>
  </r>
  <r>
    <d v="2026-06-08T00:00:00"/>
    <x v="2"/>
    <s v="Monday"/>
    <s v="Riverside"/>
    <x v="4"/>
    <x v="1"/>
    <n v="31"/>
    <n v="27"/>
    <n v="4"/>
    <n v="2.2999999999999998"/>
    <x v="39"/>
    <n v="9.1999999999999993"/>
    <n v="2.4700000000000002"/>
    <n v="25.14"/>
    <n v="0.129"/>
    <s v="No"/>
    <s v="Rainy"/>
    <m/>
  </r>
  <r>
    <d v="2026-06-08T00:00:00"/>
    <x v="2"/>
    <s v="Monday"/>
    <s v="Riverside"/>
    <x v="5"/>
    <x v="1"/>
    <n v="16"/>
    <n v="12"/>
    <n v="4"/>
    <n v="3.8"/>
    <x v="106"/>
    <n v="15.2"/>
    <n v="1.45"/>
    <n v="31.45"/>
    <n v="0.25"/>
    <s v="No"/>
    <s v="Rainy"/>
    <m/>
  </r>
  <r>
    <d v="2026-06-08T00:00:00"/>
    <x v="2"/>
    <s v="Monday"/>
    <s v="Riverside"/>
    <x v="6"/>
    <x v="2"/>
    <n v="26"/>
    <n v="22"/>
    <n v="4"/>
    <n v="2.9"/>
    <x v="160"/>
    <n v="11.6"/>
    <n v="1.56"/>
    <n v="40.9"/>
    <n v="0.15379999999999999"/>
    <s v="No"/>
    <s v="Rainy"/>
    <m/>
  </r>
  <r>
    <d v="2026-06-08T00:00:00"/>
    <x v="2"/>
    <s v="Monday"/>
    <s v="Riverside"/>
    <x v="7"/>
    <x v="2"/>
    <n v="22"/>
    <n v="17"/>
    <n v="5"/>
    <n v="3"/>
    <x v="161"/>
    <n v="15"/>
    <n v="1.41"/>
    <n v="36.17"/>
    <n v="0.2273"/>
    <s v="No"/>
    <s v="Rainy"/>
    <m/>
  </r>
  <r>
    <d v="2026-06-08T00:00:00"/>
    <x v="2"/>
    <s v="Monday"/>
    <s v="Riverside"/>
    <x v="8"/>
    <x v="2"/>
    <n v="18"/>
    <n v="14"/>
    <n v="4"/>
    <n v="3.5"/>
    <x v="162"/>
    <n v="14"/>
    <n v="1.1399999999999999"/>
    <n v="42.98"/>
    <n v="0.22220000000000001"/>
    <s v="No"/>
    <s v="Rainy"/>
    <m/>
  </r>
  <r>
    <d v="2026-06-08T00:00:00"/>
    <x v="2"/>
    <s v="Monday"/>
    <s v="Riverside"/>
    <x v="9"/>
    <x v="3"/>
    <n v="66"/>
    <n v="57"/>
    <n v="9"/>
    <n v="2.4"/>
    <x v="163"/>
    <n v="21.6"/>
    <n v="1.36"/>
    <n v="100.59"/>
    <n v="0.13639999999999999"/>
    <s v="No"/>
    <s v="Rainy"/>
    <m/>
  </r>
  <r>
    <d v="2026-06-08T00:00:00"/>
    <x v="2"/>
    <s v="Monday"/>
    <s v="Riverside"/>
    <x v="10"/>
    <x v="3"/>
    <n v="35"/>
    <n v="34"/>
    <n v="1"/>
    <n v="1.8"/>
    <x v="164"/>
    <n v="1.8"/>
    <n v="0.91"/>
    <n v="67.25"/>
    <n v="2.86E-2"/>
    <s v="No"/>
    <s v="Rainy"/>
    <m/>
  </r>
  <r>
    <d v="2026-06-08T00:00:00"/>
    <x v="2"/>
    <s v="Monday"/>
    <s v="Riverside"/>
    <x v="11"/>
    <x v="4"/>
    <n v="23"/>
    <n v="19"/>
    <n v="4"/>
    <n v="4.5999999999999996"/>
    <x v="49"/>
    <n v="18.399999999999999"/>
    <n v="1.48"/>
    <n v="59.05"/>
    <n v="0.1739"/>
    <s v="No"/>
    <s v="Rainy"/>
    <m/>
  </r>
  <r>
    <d v="2026-06-08T00:00:00"/>
    <x v="2"/>
    <s v="Monday"/>
    <s v="Riverside"/>
    <x v="12"/>
    <x v="4"/>
    <n v="17"/>
    <n v="13"/>
    <n v="4"/>
    <n v="4.8"/>
    <x v="165"/>
    <n v="19.2"/>
    <n v="1.27"/>
    <n v="49.13"/>
    <n v="0.23530000000000001"/>
    <s v="No"/>
    <s v="Rainy"/>
    <m/>
  </r>
  <r>
    <d v="2026-06-09T00:00:00"/>
    <x v="2"/>
    <s v="Tuesday"/>
    <s v="Main Street"/>
    <x v="0"/>
    <x v="0"/>
    <n v="61"/>
    <n v="57"/>
    <n v="4"/>
    <n v="2.5"/>
    <x v="166"/>
    <n v="10"/>
    <n v="2.83"/>
    <n v="50.35"/>
    <n v="6.5600000000000006E-2"/>
    <s v="No"/>
    <s v="Cloudy"/>
    <m/>
  </r>
  <r>
    <d v="2026-06-09T00:00:00"/>
    <x v="2"/>
    <s v="Tuesday"/>
    <s v="Main Street"/>
    <x v="1"/>
    <x v="0"/>
    <n v="47"/>
    <n v="43"/>
    <n v="4"/>
    <n v="2.8"/>
    <x v="167"/>
    <n v="11.2"/>
    <n v="2.31"/>
    <n v="52.12"/>
    <n v="8.5099999999999995E-2"/>
    <s v="No"/>
    <s v="Cloudy"/>
    <m/>
  </r>
  <r>
    <d v="2026-06-09T00:00:00"/>
    <x v="2"/>
    <s v="Tuesday"/>
    <s v="Main Street"/>
    <x v="2"/>
    <x v="0"/>
    <n v="36"/>
    <n v="32"/>
    <n v="4"/>
    <n v="3.1"/>
    <x v="2"/>
    <n v="12.4"/>
    <n v="1.85"/>
    <n v="53.62"/>
    <n v="0.1111"/>
    <s v="No"/>
    <s v="Cloudy"/>
    <m/>
  </r>
  <r>
    <d v="2026-06-09T00:00:00"/>
    <x v="2"/>
    <s v="Tuesday"/>
    <s v="Main Street"/>
    <x v="3"/>
    <x v="1"/>
    <n v="31"/>
    <n v="26"/>
    <n v="5"/>
    <n v="4.2"/>
    <x v="3"/>
    <n v="21"/>
    <n v="2.2599999999999998"/>
    <n v="48.32"/>
    <n v="0.1613"/>
    <s v="No"/>
    <s v="Cloudy"/>
    <m/>
  </r>
  <r>
    <d v="2026-06-09T00:00:00"/>
    <x v="2"/>
    <s v="Tuesday"/>
    <s v="Main Street"/>
    <x v="4"/>
    <x v="1"/>
    <n v="42"/>
    <n v="33"/>
    <n v="9"/>
    <n v="2.2999999999999998"/>
    <x v="28"/>
    <n v="20.7"/>
    <n v="3.21"/>
    <n v="23.64"/>
    <n v="0.21429999999999999"/>
    <s v="No"/>
    <s v="Cloudy"/>
    <m/>
  </r>
  <r>
    <d v="2026-06-09T00:00:00"/>
    <x v="2"/>
    <s v="Tuesday"/>
    <s v="Main Street"/>
    <x v="5"/>
    <x v="1"/>
    <n v="23"/>
    <n v="20"/>
    <n v="3"/>
    <n v="3.8"/>
    <x v="168"/>
    <n v="11.4"/>
    <n v="1.81"/>
    <n v="41.99"/>
    <n v="0.13039999999999999"/>
    <s v="No"/>
    <s v="Cloudy"/>
    <m/>
  </r>
  <r>
    <d v="2026-06-09T00:00:00"/>
    <x v="2"/>
    <s v="Tuesday"/>
    <s v="Main Street"/>
    <x v="6"/>
    <x v="2"/>
    <n v="44"/>
    <n v="32"/>
    <n v="12"/>
    <n v="2.9"/>
    <x v="169"/>
    <n v="34.799999999999997"/>
    <n v="2.5099999999999998"/>
    <n v="36.97"/>
    <n v="0.2727"/>
    <s v="No"/>
    <s v="Cloudy"/>
    <s v="Review production quantity"/>
  </r>
  <r>
    <d v="2026-06-09T00:00:00"/>
    <x v="2"/>
    <s v="Tuesday"/>
    <s v="Main Street"/>
    <x v="7"/>
    <x v="2"/>
    <n v="32"/>
    <n v="32"/>
    <n v="0"/>
    <n v="3"/>
    <x v="68"/>
    <n v="0"/>
    <n v="1.91"/>
    <n v="50.26"/>
    <n v="0"/>
    <s v="No"/>
    <s v="Cloudy"/>
    <m/>
  </r>
  <r>
    <d v="2026-06-09T00:00:00"/>
    <x v="2"/>
    <s v="Tuesday"/>
    <s v="Main Street"/>
    <x v="8"/>
    <x v="2"/>
    <n v="28"/>
    <n v="25"/>
    <n v="3"/>
    <n v="3.5"/>
    <x v="8"/>
    <n v="10.5"/>
    <n v="1.58"/>
    <n v="55.38"/>
    <n v="0.1071"/>
    <s v="No"/>
    <s v="Cloudy"/>
    <m/>
  </r>
  <r>
    <d v="2026-06-09T00:00:00"/>
    <x v="2"/>
    <s v="Tuesday"/>
    <s v="Main Street"/>
    <x v="9"/>
    <x v="3"/>
    <n v="94"/>
    <n v="89"/>
    <n v="5"/>
    <n v="2.4"/>
    <x v="170"/>
    <n v="12"/>
    <n v="1.98"/>
    <n v="107.88"/>
    <n v="5.3199999999999997E-2"/>
    <s v="No"/>
    <s v="Cloudy"/>
    <m/>
  </r>
  <r>
    <d v="2026-06-09T00:00:00"/>
    <x v="2"/>
    <s v="Tuesday"/>
    <s v="Main Street"/>
    <x v="10"/>
    <x v="3"/>
    <n v="57"/>
    <n v="54"/>
    <n v="3"/>
    <n v="1.8"/>
    <x v="171"/>
    <n v="5.4"/>
    <n v="1.1000000000000001"/>
    <n v="88.36"/>
    <n v="5.2600000000000001E-2"/>
    <s v="No"/>
    <s v="Cloudy"/>
    <m/>
  </r>
  <r>
    <d v="2026-06-09T00:00:00"/>
    <x v="2"/>
    <s v="Tuesday"/>
    <s v="Main Street"/>
    <x v="11"/>
    <x v="4"/>
    <n v="35"/>
    <n v="32"/>
    <n v="3"/>
    <n v="4.5999999999999996"/>
    <x v="72"/>
    <n v="13.8"/>
    <n v="2.31"/>
    <n v="63.72"/>
    <n v="8.5699999999999998E-2"/>
    <s v="No"/>
    <s v="Cloudy"/>
    <m/>
  </r>
  <r>
    <d v="2026-06-09T00:00:00"/>
    <x v="2"/>
    <s v="Tuesday"/>
    <s v="Main Street"/>
    <x v="12"/>
    <x v="4"/>
    <n v="25"/>
    <n v="21"/>
    <n v="4"/>
    <n v="4.8"/>
    <x v="1"/>
    <n v="19.2"/>
    <n v="1.65"/>
    <n v="61.09"/>
    <n v="0.16"/>
    <s v="No"/>
    <s v="Cloudy"/>
    <m/>
  </r>
  <r>
    <d v="2026-06-09T00:00:00"/>
    <x v="2"/>
    <s v="Tuesday"/>
    <s v="Riverside"/>
    <x v="0"/>
    <x v="0"/>
    <n v="50"/>
    <n v="39"/>
    <n v="11"/>
    <n v="2.5"/>
    <x v="116"/>
    <n v="27.5"/>
    <n v="2.4500000000000002"/>
    <n v="39.799999999999997"/>
    <n v="0.22"/>
    <s v="No"/>
    <s v="Cloudy"/>
    <s v="Review production quantity"/>
  </r>
  <r>
    <d v="2026-06-09T00:00:00"/>
    <x v="2"/>
    <s v="Tuesday"/>
    <s v="Riverside"/>
    <x v="1"/>
    <x v="0"/>
    <n v="41"/>
    <n v="38"/>
    <n v="3"/>
    <n v="2.8"/>
    <x v="172"/>
    <n v="8.4"/>
    <n v="2.14"/>
    <n v="49.72"/>
    <n v="7.3200000000000001E-2"/>
    <s v="Yes"/>
    <s v="Cloudy"/>
    <s v="Promotion active"/>
  </r>
  <r>
    <d v="2026-06-09T00:00:00"/>
    <x v="2"/>
    <s v="Tuesday"/>
    <s v="Riverside"/>
    <x v="2"/>
    <x v="0"/>
    <n v="29"/>
    <n v="24"/>
    <n v="5"/>
    <n v="3.1"/>
    <x v="38"/>
    <n v="15.5"/>
    <n v="1.41"/>
    <n v="52.77"/>
    <n v="0.1724"/>
    <s v="No"/>
    <s v="Cloudy"/>
    <m/>
  </r>
  <r>
    <d v="2026-06-09T00:00:00"/>
    <x v="2"/>
    <s v="Tuesday"/>
    <s v="Riverside"/>
    <x v="3"/>
    <x v="1"/>
    <n v="27"/>
    <n v="22"/>
    <n v="5"/>
    <n v="4.2"/>
    <x v="119"/>
    <n v="21"/>
    <n v="1.99"/>
    <n v="46.43"/>
    <n v="0.1852"/>
    <s v="No"/>
    <s v="Cloudy"/>
    <m/>
  </r>
  <r>
    <d v="2026-06-09T00:00:00"/>
    <x v="2"/>
    <s v="Tuesday"/>
    <s v="Riverside"/>
    <x v="4"/>
    <x v="1"/>
    <n v="34"/>
    <n v="31"/>
    <n v="3"/>
    <n v="2.2999999999999998"/>
    <x v="17"/>
    <n v="6.9"/>
    <n v="2.66"/>
    <n v="26.8"/>
    <n v="8.8200000000000001E-2"/>
    <s v="No"/>
    <s v="Cloudy"/>
    <m/>
  </r>
  <r>
    <d v="2026-06-09T00:00:00"/>
    <x v="2"/>
    <s v="Tuesday"/>
    <s v="Riverside"/>
    <x v="5"/>
    <x v="1"/>
    <n v="20"/>
    <n v="16"/>
    <n v="4"/>
    <n v="3.8"/>
    <x v="40"/>
    <n v="15.2"/>
    <n v="1.64"/>
    <n v="37.07"/>
    <n v="0.2"/>
    <s v="No"/>
    <s v="Cloudy"/>
    <m/>
  </r>
  <r>
    <d v="2026-06-09T00:00:00"/>
    <x v="2"/>
    <s v="Tuesday"/>
    <s v="Riverside"/>
    <x v="6"/>
    <x v="2"/>
    <n v="35"/>
    <n v="28"/>
    <n v="7"/>
    <n v="2.9"/>
    <x v="102"/>
    <n v="20.3"/>
    <n v="1.85"/>
    <n v="43.89"/>
    <n v="0.2"/>
    <s v="No"/>
    <s v="Cloudy"/>
    <m/>
  </r>
  <r>
    <d v="2026-06-09T00:00:00"/>
    <x v="2"/>
    <s v="Tuesday"/>
    <s v="Riverside"/>
    <x v="7"/>
    <x v="2"/>
    <n v="27"/>
    <n v="22"/>
    <n v="5"/>
    <n v="3"/>
    <x v="120"/>
    <n v="15"/>
    <n v="1.48"/>
    <n v="44.59"/>
    <n v="0.1852"/>
    <s v="No"/>
    <s v="Cloudy"/>
    <m/>
  </r>
  <r>
    <d v="2026-06-09T00:00:00"/>
    <x v="2"/>
    <s v="Tuesday"/>
    <s v="Riverside"/>
    <x v="8"/>
    <x v="2"/>
    <n v="22"/>
    <n v="18"/>
    <n v="4"/>
    <n v="3.5"/>
    <x v="21"/>
    <n v="14"/>
    <n v="1.29"/>
    <n v="48.84"/>
    <n v="0.18179999999999999"/>
    <s v="No"/>
    <s v="Cloudy"/>
    <m/>
  </r>
  <r>
    <d v="2026-06-09T00:00:00"/>
    <x v="2"/>
    <s v="Tuesday"/>
    <s v="Riverside"/>
    <x v="9"/>
    <x v="3"/>
    <n v="77"/>
    <n v="66"/>
    <n v="11"/>
    <n v="2.4"/>
    <x v="78"/>
    <n v="26.4"/>
    <n v="1.7"/>
    <n v="93.18"/>
    <n v="0.1429"/>
    <s v="No"/>
    <s v="Cloudy"/>
    <m/>
  </r>
  <r>
    <d v="2026-06-09T00:00:00"/>
    <x v="2"/>
    <s v="Tuesday"/>
    <s v="Riverside"/>
    <x v="10"/>
    <x v="3"/>
    <n v="42"/>
    <n v="38"/>
    <n v="4"/>
    <n v="1.8"/>
    <x v="114"/>
    <n v="7.2"/>
    <n v="0.94"/>
    <n v="72.77"/>
    <n v="9.5200000000000007E-2"/>
    <s v="No"/>
    <s v="Cloudy"/>
    <m/>
  </r>
  <r>
    <d v="2026-06-09T00:00:00"/>
    <x v="2"/>
    <s v="Tuesday"/>
    <s v="Riverside"/>
    <x v="11"/>
    <x v="4"/>
    <n v="31"/>
    <n v="27"/>
    <n v="4"/>
    <n v="4.5999999999999996"/>
    <x v="83"/>
    <n v="18.399999999999999"/>
    <n v="2.04"/>
    <n v="60.88"/>
    <n v="0.129"/>
    <s v="No"/>
    <s v="Cloudy"/>
    <m/>
  </r>
  <r>
    <d v="2026-06-09T00:00:00"/>
    <x v="2"/>
    <s v="Tuesday"/>
    <s v="Riverside"/>
    <x v="12"/>
    <x v="4"/>
    <n v="21"/>
    <n v="16"/>
    <n v="5"/>
    <n v="4.8"/>
    <x v="24"/>
    <n v="24"/>
    <n v="1.45"/>
    <n v="52.97"/>
    <n v="0.23810000000000001"/>
    <s v="No"/>
    <s v="Cloudy"/>
    <m/>
  </r>
  <r>
    <d v="2026-06-10T00:00:00"/>
    <x v="2"/>
    <s v="Wednesday"/>
    <s v="Main Street"/>
    <x v="0"/>
    <x v="0"/>
    <n v="68"/>
    <n v="68"/>
    <n v="0"/>
    <n v="2.5"/>
    <x v="173"/>
    <n v="0"/>
    <n v="3.21"/>
    <n v="52.96"/>
    <n v="0"/>
    <s v="No"/>
    <s v="Sunny"/>
    <m/>
  </r>
  <r>
    <d v="2026-06-10T00:00:00"/>
    <x v="2"/>
    <s v="Wednesday"/>
    <s v="Main Street"/>
    <x v="1"/>
    <x v="0"/>
    <n v="56"/>
    <n v="44"/>
    <n v="12"/>
    <n v="2.8"/>
    <x v="174"/>
    <n v="33.6"/>
    <n v="2.64"/>
    <n v="46.67"/>
    <n v="0.21429999999999999"/>
    <s v="No"/>
    <s v="Sunny"/>
    <s v="Review production quantity"/>
  </r>
  <r>
    <d v="2026-06-10T00:00:00"/>
    <x v="2"/>
    <s v="Wednesday"/>
    <s v="Main Street"/>
    <x v="2"/>
    <x v="0"/>
    <n v="45"/>
    <n v="38"/>
    <n v="7"/>
    <n v="3.1"/>
    <x v="125"/>
    <n v="21.7"/>
    <n v="2.12"/>
    <n v="55.57"/>
    <n v="0.15559999999999999"/>
    <s v="No"/>
    <s v="Sunny"/>
    <m/>
  </r>
  <r>
    <d v="2026-06-10T00:00:00"/>
    <x v="2"/>
    <s v="Wednesday"/>
    <s v="Main Street"/>
    <x v="3"/>
    <x v="1"/>
    <n v="36"/>
    <n v="31"/>
    <n v="5"/>
    <n v="4.2"/>
    <x v="175"/>
    <n v="21"/>
    <n v="2.67"/>
    <n v="48.76"/>
    <n v="0.1389"/>
    <s v="No"/>
    <s v="Sunny"/>
    <m/>
  </r>
  <r>
    <d v="2026-06-10T00:00:00"/>
    <x v="2"/>
    <s v="Wednesday"/>
    <s v="Main Street"/>
    <x v="4"/>
    <x v="1"/>
    <n v="53"/>
    <n v="44"/>
    <n v="9"/>
    <n v="2.2999999999999998"/>
    <x v="126"/>
    <n v="20.7"/>
    <n v="3.78"/>
    <n v="26.77"/>
    <n v="0.16980000000000001"/>
    <s v="No"/>
    <s v="Sunny"/>
    <m/>
  </r>
  <r>
    <d v="2026-06-10T00:00:00"/>
    <x v="2"/>
    <s v="Wednesday"/>
    <s v="Main Street"/>
    <x v="5"/>
    <x v="1"/>
    <n v="27"/>
    <n v="21"/>
    <n v="6"/>
    <n v="3.8"/>
    <x v="29"/>
    <n v="22.8"/>
    <n v="2.16"/>
    <n v="36.94"/>
    <n v="0.22220000000000001"/>
    <s v="No"/>
    <s v="Sunny"/>
    <m/>
  </r>
  <r>
    <d v="2026-06-10T00:00:00"/>
    <x v="2"/>
    <s v="Wednesday"/>
    <s v="Main Street"/>
    <x v="6"/>
    <x v="2"/>
    <n v="51"/>
    <n v="44"/>
    <n v="7"/>
    <n v="2.9"/>
    <x v="176"/>
    <n v="20.3"/>
    <n v="2.7"/>
    <n v="47.26"/>
    <n v="0.13730000000000001"/>
    <s v="No"/>
    <s v="Sunny"/>
    <m/>
  </r>
  <r>
    <d v="2026-06-10T00:00:00"/>
    <x v="2"/>
    <s v="Wednesday"/>
    <s v="Main Street"/>
    <x v="7"/>
    <x v="2"/>
    <n v="37"/>
    <n v="33"/>
    <n v="4"/>
    <n v="3"/>
    <x v="177"/>
    <n v="12"/>
    <n v="2.19"/>
    <n v="45.21"/>
    <n v="0.1081"/>
    <s v="No"/>
    <s v="Sunny"/>
    <m/>
  </r>
  <r>
    <d v="2026-06-10T00:00:00"/>
    <x v="2"/>
    <s v="Wednesday"/>
    <s v="Main Street"/>
    <x v="8"/>
    <x v="2"/>
    <n v="31"/>
    <n v="28"/>
    <n v="3"/>
    <n v="3.5"/>
    <x v="37"/>
    <n v="10.5"/>
    <n v="1.88"/>
    <n v="52.13"/>
    <n v="9.6799999999999997E-2"/>
    <s v="No"/>
    <s v="Sunny"/>
    <m/>
  </r>
  <r>
    <d v="2026-06-10T00:00:00"/>
    <x v="2"/>
    <s v="Wednesday"/>
    <s v="Main Street"/>
    <x v="9"/>
    <x v="3"/>
    <n v="118"/>
    <n v="114"/>
    <n v="4"/>
    <n v="2.4"/>
    <x v="70"/>
    <n v="9.6"/>
    <n v="2.42"/>
    <n v="113.06"/>
    <n v="3.39E-2"/>
    <s v="No"/>
    <s v="Sunny"/>
    <m/>
  </r>
  <r>
    <d v="2026-06-10T00:00:00"/>
    <x v="2"/>
    <s v="Wednesday"/>
    <s v="Main Street"/>
    <x v="10"/>
    <x v="3"/>
    <n v="64"/>
    <n v="59"/>
    <n v="5"/>
    <n v="1.8"/>
    <x v="155"/>
    <n v="9"/>
    <n v="1.41"/>
    <n v="75.319999999999993"/>
    <n v="7.8100000000000003E-2"/>
    <s v="No"/>
    <s v="Sunny"/>
    <m/>
  </r>
  <r>
    <d v="2026-06-10T00:00:00"/>
    <x v="2"/>
    <s v="Wednesday"/>
    <s v="Main Street"/>
    <x v="11"/>
    <x v="4"/>
    <n v="44"/>
    <n v="35"/>
    <n v="9"/>
    <n v="4.5999999999999996"/>
    <x v="35"/>
    <n v="41.4"/>
    <n v="2.8"/>
    <n v="57.5"/>
    <n v="0.20449999999999999"/>
    <s v="No"/>
    <s v="Sunny"/>
    <m/>
  </r>
  <r>
    <d v="2026-06-10T00:00:00"/>
    <x v="2"/>
    <s v="Wednesday"/>
    <s v="Main Street"/>
    <x v="12"/>
    <x v="4"/>
    <n v="28"/>
    <n v="23"/>
    <n v="5"/>
    <n v="4.8"/>
    <x v="122"/>
    <n v="24"/>
    <n v="2.0099999999999998"/>
    <n v="54.93"/>
    <n v="0.17860000000000001"/>
    <s v="No"/>
    <s v="Sunny"/>
    <m/>
  </r>
  <r>
    <d v="2026-06-10T00:00:00"/>
    <x v="2"/>
    <s v="Wednesday"/>
    <s v="Riverside"/>
    <x v="0"/>
    <x v="0"/>
    <n v="55"/>
    <n v="45"/>
    <n v="10"/>
    <n v="2.5"/>
    <x v="97"/>
    <n v="25"/>
    <n v="2.5499999999999998"/>
    <n v="44.12"/>
    <n v="0.18179999999999999"/>
    <s v="No"/>
    <s v="Sunny"/>
    <s v="Review production quantity"/>
  </r>
  <r>
    <d v="2026-06-10T00:00:00"/>
    <x v="2"/>
    <s v="Wednesday"/>
    <s v="Riverside"/>
    <x v="1"/>
    <x v="0"/>
    <n v="41"/>
    <n v="39"/>
    <n v="2"/>
    <n v="2.8"/>
    <x v="3"/>
    <n v="5.6"/>
    <n v="2.15"/>
    <n v="50.79"/>
    <n v="4.8800000000000003E-2"/>
    <s v="No"/>
    <s v="Sunny"/>
    <m/>
  </r>
  <r>
    <d v="2026-06-10T00:00:00"/>
    <x v="2"/>
    <s v="Wednesday"/>
    <s v="Riverside"/>
    <x v="2"/>
    <x v="0"/>
    <n v="36"/>
    <n v="32"/>
    <n v="4"/>
    <n v="3.1"/>
    <x v="2"/>
    <n v="12.4"/>
    <n v="1.9"/>
    <n v="52.21"/>
    <n v="0.1111"/>
    <s v="Yes"/>
    <s v="Sunny"/>
    <s v="Promotion active"/>
  </r>
  <r>
    <d v="2026-06-10T00:00:00"/>
    <x v="2"/>
    <s v="Wednesday"/>
    <s v="Riverside"/>
    <x v="3"/>
    <x v="1"/>
    <n v="29"/>
    <n v="23"/>
    <n v="6"/>
    <n v="4.2"/>
    <x v="110"/>
    <n v="25.2"/>
    <n v="2.33"/>
    <n v="41.46"/>
    <n v="0.2069"/>
    <s v="No"/>
    <s v="Sunny"/>
    <m/>
  </r>
  <r>
    <d v="2026-06-10T00:00:00"/>
    <x v="2"/>
    <s v="Wednesday"/>
    <s v="Riverside"/>
    <x v="4"/>
    <x v="1"/>
    <n v="42"/>
    <n v="31"/>
    <n v="11"/>
    <n v="2.2999999999999998"/>
    <x v="17"/>
    <n v="25.3"/>
    <n v="3.12"/>
    <n v="22.85"/>
    <n v="0.26190000000000002"/>
    <s v="No"/>
    <s v="Sunny"/>
    <s v="Review production quantity"/>
  </r>
  <r>
    <d v="2026-06-10T00:00:00"/>
    <x v="2"/>
    <s v="Wednesday"/>
    <s v="Riverside"/>
    <x v="5"/>
    <x v="1"/>
    <n v="22"/>
    <n v="17"/>
    <n v="5"/>
    <n v="3.8"/>
    <x v="5"/>
    <n v="19"/>
    <n v="1.72"/>
    <n v="37.56"/>
    <n v="0.2273"/>
    <s v="No"/>
    <s v="Sunny"/>
    <m/>
  </r>
  <r>
    <d v="2026-06-10T00:00:00"/>
    <x v="2"/>
    <s v="Wednesday"/>
    <s v="Riverside"/>
    <x v="6"/>
    <x v="2"/>
    <n v="39"/>
    <n v="31"/>
    <n v="8"/>
    <n v="2.9"/>
    <x v="6"/>
    <n v="23.2"/>
    <n v="2.16"/>
    <n v="41.62"/>
    <n v="0.2051"/>
    <s v="No"/>
    <s v="Sunny"/>
    <m/>
  </r>
  <r>
    <d v="2026-06-10T00:00:00"/>
    <x v="2"/>
    <s v="Wednesday"/>
    <s v="Riverside"/>
    <x v="7"/>
    <x v="2"/>
    <n v="33"/>
    <n v="26"/>
    <n v="7"/>
    <n v="3"/>
    <x v="31"/>
    <n v="21"/>
    <n v="1.95"/>
    <n v="40"/>
    <n v="0.21210000000000001"/>
    <s v="No"/>
    <s v="Sunny"/>
    <m/>
  </r>
  <r>
    <d v="2026-06-10T00:00:00"/>
    <x v="2"/>
    <s v="Wednesday"/>
    <s v="Riverside"/>
    <x v="8"/>
    <x v="2"/>
    <n v="27"/>
    <n v="24"/>
    <n v="3"/>
    <n v="3.5"/>
    <x v="14"/>
    <n v="10.5"/>
    <n v="1.54"/>
    <n v="54.55"/>
    <n v="0.1111"/>
    <s v="No"/>
    <s v="Sunny"/>
    <m/>
  </r>
  <r>
    <d v="2026-06-10T00:00:00"/>
    <x v="2"/>
    <s v="Wednesday"/>
    <s v="Riverside"/>
    <x v="9"/>
    <x v="3"/>
    <n v="90"/>
    <n v="85"/>
    <n v="5"/>
    <n v="2.4"/>
    <x v="178"/>
    <n v="12"/>
    <n v="1.96"/>
    <n v="104.08"/>
    <n v="5.5599999999999997E-2"/>
    <s v="No"/>
    <s v="Sunny"/>
    <m/>
  </r>
  <r>
    <d v="2026-06-10T00:00:00"/>
    <x v="2"/>
    <s v="Wednesday"/>
    <s v="Riverside"/>
    <x v="10"/>
    <x v="3"/>
    <n v="47"/>
    <n v="41"/>
    <n v="6"/>
    <n v="1.8"/>
    <x v="63"/>
    <n v="10.8"/>
    <n v="0.97"/>
    <n v="76.08"/>
    <n v="0.12770000000000001"/>
    <s v="No"/>
    <s v="Sunny"/>
    <m/>
  </r>
  <r>
    <d v="2026-06-10T00:00:00"/>
    <x v="2"/>
    <s v="Wednesday"/>
    <s v="Riverside"/>
    <x v="11"/>
    <x v="4"/>
    <n v="36"/>
    <n v="29"/>
    <n v="7"/>
    <n v="4.5999999999999996"/>
    <x v="179"/>
    <n v="32.200000000000003"/>
    <n v="2.2400000000000002"/>
    <n v="59.55"/>
    <n v="0.19439999999999999"/>
    <s v="No"/>
    <s v="Sunny"/>
    <m/>
  </r>
  <r>
    <d v="2026-06-10T00:00:00"/>
    <x v="2"/>
    <s v="Wednesday"/>
    <s v="Riverside"/>
    <x v="12"/>
    <x v="4"/>
    <n v="24"/>
    <n v="19"/>
    <n v="5"/>
    <n v="4.8"/>
    <x v="12"/>
    <n v="24"/>
    <n v="1.72"/>
    <n v="53.02"/>
    <n v="0.20830000000000001"/>
    <s v="No"/>
    <s v="Sunny"/>
    <m/>
  </r>
  <r>
    <d v="2026-06-11T00:00:00"/>
    <x v="2"/>
    <s v="Thursday"/>
    <s v="Main Street"/>
    <x v="0"/>
    <x v="0"/>
    <n v="81"/>
    <n v="73"/>
    <n v="8"/>
    <n v="2.5"/>
    <x v="180"/>
    <n v="20"/>
    <n v="3.98"/>
    <n v="45.85"/>
    <n v="9.8799999999999999E-2"/>
    <s v="Yes"/>
    <s v="Sunny"/>
    <s v="Strong demand"/>
  </r>
  <r>
    <d v="2026-06-11T00:00:00"/>
    <x v="2"/>
    <s v="Thursday"/>
    <s v="Main Street"/>
    <x v="1"/>
    <x v="0"/>
    <n v="59"/>
    <n v="49"/>
    <n v="10"/>
    <n v="2.8"/>
    <x v="66"/>
    <n v="28"/>
    <n v="2.71"/>
    <n v="50.63"/>
    <n v="0.16950000000000001"/>
    <s v="No"/>
    <s v="Sunny"/>
    <s v="Review production quantity"/>
  </r>
  <r>
    <d v="2026-06-11T00:00:00"/>
    <x v="2"/>
    <s v="Thursday"/>
    <s v="Main Street"/>
    <x v="2"/>
    <x v="0"/>
    <n v="48"/>
    <n v="38"/>
    <n v="10"/>
    <n v="3.1"/>
    <x v="125"/>
    <n v="31"/>
    <n v="2.5099999999999998"/>
    <n v="46.93"/>
    <n v="0.20830000000000001"/>
    <s v="No"/>
    <s v="Sunny"/>
    <s v="Review production quantity"/>
  </r>
  <r>
    <d v="2026-06-11T00:00:00"/>
    <x v="2"/>
    <s v="Thursday"/>
    <s v="Main Street"/>
    <x v="3"/>
    <x v="1"/>
    <n v="36"/>
    <n v="36"/>
    <n v="0"/>
    <n v="4.2"/>
    <x v="181"/>
    <n v="0"/>
    <n v="2.82"/>
    <n v="53.62"/>
    <n v="0"/>
    <s v="No"/>
    <s v="Sunny"/>
    <m/>
  </r>
  <r>
    <d v="2026-06-11T00:00:00"/>
    <x v="2"/>
    <s v="Thursday"/>
    <s v="Main Street"/>
    <x v="4"/>
    <x v="1"/>
    <n v="57"/>
    <n v="42"/>
    <n v="15"/>
    <n v="2.2999999999999998"/>
    <x v="110"/>
    <n v="34.5"/>
    <n v="4.13"/>
    <n v="23.39"/>
    <n v="0.26319999999999999"/>
    <s v="No"/>
    <s v="Sunny"/>
    <s v="Review production quantity"/>
  </r>
  <r>
    <d v="2026-06-11T00:00:00"/>
    <x v="2"/>
    <s v="Thursday"/>
    <s v="Main Street"/>
    <x v="5"/>
    <x v="1"/>
    <n v="29"/>
    <n v="22"/>
    <n v="7"/>
    <n v="3.8"/>
    <x v="95"/>
    <n v="26.6"/>
    <n v="2.29"/>
    <n v="36.51"/>
    <n v="0.2414"/>
    <s v="No"/>
    <s v="Sunny"/>
    <m/>
  </r>
  <r>
    <d v="2026-06-11T00:00:00"/>
    <x v="2"/>
    <s v="Thursday"/>
    <s v="Main Street"/>
    <x v="6"/>
    <x v="2"/>
    <n v="46"/>
    <n v="39"/>
    <n v="7"/>
    <n v="2.9"/>
    <x v="182"/>
    <n v="20.3"/>
    <n v="2.4300000000000002"/>
    <n v="46.54"/>
    <n v="0.1522"/>
    <s v="No"/>
    <s v="Sunny"/>
    <m/>
  </r>
  <r>
    <d v="2026-06-11T00:00:00"/>
    <x v="2"/>
    <s v="Thursday"/>
    <s v="Main Street"/>
    <x v="7"/>
    <x v="2"/>
    <n v="43"/>
    <n v="38"/>
    <n v="5"/>
    <n v="3"/>
    <x v="135"/>
    <n v="15"/>
    <n v="2.36"/>
    <n v="48.31"/>
    <n v="0.1163"/>
    <s v="No"/>
    <s v="Sunny"/>
    <m/>
  </r>
  <r>
    <d v="2026-06-11T00:00:00"/>
    <x v="2"/>
    <s v="Thursday"/>
    <s v="Main Street"/>
    <x v="8"/>
    <x v="2"/>
    <n v="33"/>
    <n v="27"/>
    <n v="6"/>
    <n v="3.5"/>
    <x v="183"/>
    <n v="21"/>
    <n v="1.71"/>
    <n v="55.26"/>
    <n v="0.18179999999999999"/>
    <s v="No"/>
    <s v="Sunny"/>
    <m/>
  </r>
  <r>
    <d v="2026-06-11T00:00:00"/>
    <x v="2"/>
    <s v="Thursday"/>
    <s v="Main Street"/>
    <x v="9"/>
    <x v="3"/>
    <n v="126"/>
    <n v="113"/>
    <n v="13"/>
    <n v="2.4"/>
    <x v="184"/>
    <n v="31.2"/>
    <n v="2.35"/>
    <n v="115.4"/>
    <n v="0.1032"/>
    <s v="No"/>
    <s v="Sunny"/>
    <m/>
  </r>
  <r>
    <d v="2026-06-11T00:00:00"/>
    <x v="2"/>
    <s v="Thursday"/>
    <s v="Main Street"/>
    <x v="10"/>
    <x v="3"/>
    <n v="69"/>
    <n v="60"/>
    <n v="9"/>
    <n v="1.8"/>
    <x v="185"/>
    <n v="16.2"/>
    <n v="1.45"/>
    <n v="74.48"/>
    <n v="0.13039999999999999"/>
    <s v="Yes"/>
    <s v="Sunny"/>
    <s v="Promotion active"/>
  </r>
  <r>
    <d v="2026-06-11T00:00:00"/>
    <x v="2"/>
    <s v="Thursday"/>
    <s v="Main Street"/>
    <x v="11"/>
    <x v="4"/>
    <n v="42"/>
    <n v="38"/>
    <n v="4"/>
    <n v="4.5999999999999996"/>
    <x v="53"/>
    <n v="18.399999999999999"/>
    <n v="2.75"/>
    <n v="63.56"/>
    <n v="9.5200000000000007E-2"/>
    <s v="No"/>
    <s v="Sunny"/>
    <m/>
  </r>
  <r>
    <d v="2026-06-11T00:00:00"/>
    <x v="2"/>
    <s v="Thursday"/>
    <s v="Main Street"/>
    <x v="12"/>
    <x v="4"/>
    <n v="31"/>
    <n v="27"/>
    <n v="4"/>
    <n v="4.8"/>
    <x v="156"/>
    <n v="19.2"/>
    <n v="1.94"/>
    <n v="66.8"/>
    <n v="0.129"/>
    <s v="No"/>
    <s v="Sunny"/>
    <m/>
  </r>
  <r>
    <d v="2026-06-11T00:00:00"/>
    <x v="2"/>
    <s v="Thursday"/>
    <s v="Riverside"/>
    <x v="0"/>
    <x v="0"/>
    <n v="63"/>
    <n v="58"/>
    <n v="5"/>
    <n v="2.5"/>
    <x v="186"/>
    <n v="12.5"/>
    <n v="3.04"/>
    <n v="47.7"/>
    <n v="7.9399999999999998E-2"/>
    <s v="Yes"/>
    <s v="Sunny"/>
    <s v="Strong demand"/>
  </r>
  <r>
    <d v="2026-06-11T00:00:00"/>
    <x v="2"/>
    <s v="Thursday"/>
    <s v="Riverside"/>
    <x v="1"/>
    <x v="0"/>
    <n v="53"/>
    <n v="43"/>
    <n v="10"/>
    <n v="2.8"/>
    <x v="167"/>
    <n v="28"/>
    <n v="2.58"/>
    <n v="46.67"/>
    <n v="0.18870000000000001"/>
    <s v="Yes"/>
    <s v="Sunny"/>
    <s v="Review production quantity"/>
  </r>
  <r>
    <d v="2026-06-11T00:00:00"/>
    <x v="2"/>
    <s v="Thursday"/>
    <s v="Riverside"/>
    <x v="2"/>
    <x v="0"/>
    <n v="41"/>
    <n v="30"/>
    <n v="11"/>
    <n v="3.1"/>
    <x v="128"/>
    <n v="34.1"/>
    <n v="1.9"/>
    <n v="48.95"/>
    <n v="0.26829999999999998"/>
    <s v="No"/>
    <s v="Sunny"/>
    <s v="Review production quantity"/>
  </r>
  <r>
    <d v="2026-06-11T00:00:00"/>
    <x v="2"/>
    <s v="Thursday"/>
    <s v="Riverside"/>
    <x v="3"/>
    <x v="1"/>
    <n v="30"/>
    <n v="28"/>
    <n v="2"/>
    <n v="4.2"/>
    <x v="124"/>
    <n v="8.4"/>
    <n v="2.34"/>
    <n v="50.26"/>
    <n v="6.6699999999999995E-2"/>
    <s v="No"/>
    <s v="Sunny"/>
    <m/>
  </r>
  <r>
    <d v="2026-06-11T00:00:00"/>
    <x v="2"/>
    <s v="Thursday"/>
    <s v="Riverside"/>
    <x v="4"/>
    <x v="1"/>
    <n v="44"/>
    <n v="34"/>
    <n v="10"/>
    <n v="2.2999999999999998"/>
    <x v="113"/>
    <n v="23"/>
    <n v="3.14"/>
    <n v="24.9"/>
    <n v="0.2273"/>
    <s v="No"/>
    <s v="Sunny"/>
    <s v="Review production quantity"/>
  </r>
  <r>
    <d v="2026-06-11T00:00:00"/>
    <x v="2"/>
    <s v="Thursday"/>
    <s v="Riverside"/>
    <x v="5"/>
    <x v="1"/>
    <n v="23"/>
    <n v="17"/>
    <n v="6"/>
    <n v="3.8"/>
    <x v="5"/>
    <n v="22.8"/>
    <n v="1.89"/>
    <n v="34.18"/>
    <n v="0.26090000000000002"/>
    <s v="No"/>
    <s v="Sunny"/>
    <m/>
  </r>
  <r>
    <d v="2026-06-11T00:00:00"/>
    <x v="2"/>
    <s v="Thursday"/>
    <s v="Riverside"/>
    <x v="6"/>
    <x v="2"/>
    <n v="41"/>
    <n v="35"/>
    <n v="6"/>
    <n v="2.9"/>
    <x v="187"/>
    <n v="17.399999999999999"/>
    <n v="2.34"/>
    <n v="43.38"/>
    <n v="0.14630000000000001"/>
    <s v="No"/>
    <s v="Sunny"/>
    <m/>
  </r>
  <r>
    <d v="2026-06-11T00:00:00"/>
    <x v="2"/>
    <s v="Thursday"/>
    <s v="Riverside"/>
    <x v="7"/>
    <x v="2"/>
    <n v="35"/>
    <n v="28"/>
    <n v="7"/>
    <n v="3"/>
    <x v="14"/>
    <n v="21"/>
    <n v="1.89"/>
    <n v="44.44"/>
    <n v="0.2"/>
    <s v="No"/>
    <s v="Sunny"/>
    <m/>
  </r>
  <r>
    <d v="2026-06-11T00:00:00"/>
    <x v="2"/>
    <s v="Thursday"/>
    <s v="Riverside"/>
    <x v="8"/>
    <x v="2"/>
    <n v="25"/>
    <n v="20"/>
    <n v="5"/>
    <n v="3.5"/>
    <x v="131"/>
    <n v="17.5"/>
    <n v="1.58"/>
    <n v="44.3"/>
    <n v="0.2"/>
    <s v="No"/>
    <s v="Sunny"/>
    <m/>
  </r>
  <r>
    <d v="2026-06-11T00:00:00"/>
    <x v="2"/>
    <s v="Thursday"/>
    <s v="Riverside"/>
    <x v="9"/>
    <x v="3"/>
    <n v="101"/>
    <n v="90"/>
    <n v="11"/>
    <n v="2.4"/>
    <x v="9"/>
    <n v="26.4"/>
    <n v="1.94"/>
    <n v="111.34"/>
    <n v="0.1089"/>
    <s v="No"/>
    <s v="Sunny"/>
    <m/>
  </r>
  <r>
    <d v="2026-06-11T00:00:00"/>
    <x v="2"/>
    <s v="Thursday"/>
    <s v="Riverside"/>
    <x v="10"/>
    <x v="3"/>
    <n v="48"/>
    <n v="45"/>
    <n v="3"/>
    <n v="1.8"/>
    <x v="188"/>
    <n v="5.4"/>
    <n v="1.1499999999999999"/>
    <n v="70.430000000000007"/>
    <n v="6.25E-2"/>
    <s v="No"/>
    <s v="Sunny"/>
    <m/>
  </r>
  <r>
    <d v="2026-06-11T00:00:00"/>
    <x v="2"/>
    <s v="Thursday"/>
    <s v="Riverside"/>
    <x v="11"/>
    <x v="4"/>
    <n v="39"/>
    <n v="31"/>
    <n v="8"/>
    <n v="4.5999999999999996"/>
    <x v="189"/>
    <n v="36.799999999999997"/>
    <n v="2.5"/>
    <n v="57.04"/>
    <n v="0.2051"/>
    <s v="Yes"/>
    <s v="Sunny"/>
    <s v="Promotion active"/>
  </r>
  <r>
    <d v="2026-06-11T00:00:00"/>
    <x v="2"/>
    <s v="Thursday"/>
    <s v="Riverside"/>
    <x v="12"/>
    <x v="4"/>
    <n v="29"/>
    <n v="25"/>
    <n v="4"/>
    <n v="4.8"/>
    <x v="0"/>
    <n v="19.2"/>
    <n v="1.91"/>
    <n v="62.83"/>
    <n v="0.13789999999999999"/>
    <s v="Yes"/>
    <s v="Sunny"/>
    <s v="Strong demand"/>
  </r>
  <r>
    <d v="2026-06-12T00:00:00"/>
    <x v="2"/>
    <s v="Friday"/>
    <s v="Main Street"/>
    <x v="0"/>
    <x v="0"/>
    <n v="81"/>
    <n v="75"/>
    <n v="6"/>
    <n v="2.5"/>
    <x v="190"/>
    <n v="15"/>
    <n v="3.85"/>
    <n v="48.7"/>
    <n v="7.4099999999999999E-2"/>
    <s v="No"/>
    <s v="Windy"/>
    <s v="Strong demand"/>
  </r>
  <r>
    <d v="2026-06-12T00:00:00"/>
    <x v="2"/>
    <s v="Friday"/>
    <s v="Main Street"/>
    <x v="1"/>
    <x v="0"/>
    <n v="64"/>
    <n v="47"/>
    <n v="17"/>
    <n v="2.8"/>
    <x v="191"/>
    <n v="47.6"/>
    <n v="3.11"/>
    <n v="42.32"/>
    <n v="0.2656"/>
    <s v="No"/>
    <s v="Windy"/>
    <s v="Review production quantity"/>
  </r>
  <r>
    <d v="2026-06-12T00:00:00"/>
    <x v="2"/>
    <s v="Friday"/>
    <s v="Main Street"/>
    <x v="2"/>
    <x v="0"/>
    <n v="50"/>
    <n v="41"/>
    <n v="9"/>
    <n v="3.1"/>
    <x v="154"/>
    <n v="27.9"/>
    <n v="2.3199999999999998"/>
    <n v="54.78"/>
    <n v="0.18"/>
    <s v="No"/>
    <s v="Windy"/>
    <m/>
  </r>
  <r>
    <d v="2026-06-12T00:00:00"/>
    <x v="2"/>
    <s v="Friday"/>
    <s v="Main Street"/>
    <x v="3"/>
    <x v="1"/>
    <n v="40"/>
    <n v="36"/>
    <n v="4"/>
    <n v="4.2"/>
    <x v="181"/>
    <n v="16.8"/>
    <n v="2.98"/>
    <n v="50.74"/>
    <n v="0.1"/>
    <s v="No"/>
    <s v="Windy"/>
    <m/>
  </r>
  <r>
    <d v="2026-06-12T00:00:00"/>
    <x v="2"/>
    <s v="Friday"/>
    <s v="Main Street"/>
    <x v="4"/>
    <x v="1"/>
    <n v="54"/>
    <n v="42"/>
    <n v="12"/>
    <n v="2.2999999999999998"/>
    <x v="110"/>
    <n v="27.6"/>
    <n v="4.09"/>
    <n v="23.62"/>
    <n v="0.22220000000000001"/>
    <s v="No"/>
    <s v="Windy"/>
    <s v="Review production quantity"/>
  </r>
  <r>
    <d v="2026-06-12T00:00:00"/>
    <x v="2"/>
    <s v="Friday"/>
    <s v="Main Street"/>
    <x v="5"/>
    <x v="1"/>
    <n v="32"/>
    <n v="24"/>
    <n v="8"/>
    <n v="3.8"/>
    <x v="12"/>
    <n v="30.4"/>
    <n v="2.58"/>
    <n v="35.35"/>
    <n v="0.25"/>
    <s v="No"/>
    <s v="Windy"/>
    <m/>
  </r>
  <r>
    <d v="2026-06-12T00:00:00"/>
    <x v="2"/>
    <s v="Friday"/>
    <s v="Main Street"/>
    <x v="6"/>
    <x v="2"/>
    <n v="55"/>
    <n v="52"/>
    <n v="3"/>
    <n v="2.9"/>
    <x v="192"/>
    <n v="8.6999999999999993"/>
    <n v="2.91"/>
    <n v="51.82"/>
    <n v="5.45E-2"/>
    <s v="Yes"/>
    <s v="Windy"/>
    <s v="Strong demand"/>
  </r>
  <r>
    <d v="2026-06-12T00:00:00"/>
    <x v="2"/>
    <s v="Friday"/>
    <s v="Main Street"/>
    <x v="7"/>
    <x v="2"/>
    <n v="46"/>
    <n v="41"/>
    <n v="5"/>
    <n v="3"/>
    <x v="193"/>
    <n v="15"/>
    <n v="2.39"/>
    <n v="51.46"/>
    <n v="0.1087"/>
    <s v="No"/>
    <s v="Windy"/>
    <s v="Strong demand"/>
  </r>
  <r>
    <d v="2026-06-12T00:00:00"/>
    <x v="2"/>
    <s v="Friday"/>
    <s v="Main Street"/>
    <x v="8"/>
    <x v="2"/>
    <n v="37"/>
    <n v="27"/>
    <n v="10"/>
    <n v="3.5"/>
    <x v="183"/>
    <n v="35"/>
    <n v="1.92"/>
    <n v="49.22"/>
    <n v="0.27029999999999998"/>
    <s v="No"/>
    <s v="Windy"/>
    <s v="Review production quantity"/>
  </r>
  <r>
    <d v="2026-06-12T00:00:00"/>
    <x v="2"/>
    <s v="Friday"/>
    <s v="Main Street"/>
    <x v="9"/>
    <x v="3"/>
    <n v="124"/>
    <n v="115"/>
    <n v="9"/>
    <n v="2.4"/>
    <x v="194"/>
    <n v="21.6"/>
    <n v="2.4500000000000002"/>
    <n v="112.65"/>
    <n v="7.2599999999999998E-2"/>
    <s v="No"/>
    <s v="Windy"/>
    <m/>
  </r>
  <r>
    <d v="2026-06-12T00:00:00"/>
    <x v="2"/>
    <s v="Friday"/>
    <s v="Main Street"/>
    <x v="10"/>
    <x v="3"/>
    <n v="72"/>
    <n v="69"/>
    <n v="3"/>
    <n v="1.8"/>
    <x v="83"/>
    <n v="5.4"/>
    <n v="1.46"/>
    <n v="85.07"/>
    <n v="4.1700000000000001E-2"/>
    <s v="No"/>
    <s v="Windy"/>
    <s v="Strong demand"/>
  </r>
  <r>
    <d v="2026-06-12T00:00:00"/>
    <x v="2"/>
    <s v="Friday"/>
    <s v="Main Street"/>
    <x v="11"/>
    <x v="4"/>
    <n v="48"/>
    <n v="40"/>
    <n v="8"/>
    <n v="4.5999999999999996"/>
    <x v="195"/>
    <n v="36.799999999999997"/>
    <n v="3.05"/>
    <n v="60.33"/>
    <n v="0.16669999999999999"/>
    <s v="No"/>
    <s v="Windy"/>
    <m/>
  </r>
  <r>
    <d v="2026-06-12T00:00:00"/>
    <x v="2"/>
    <s v="Friday"/>
    <s v="Main Street"/>
    <x v="12"/>
    <x v="4"/>
    <n v="31"/>
    <n v="25"/>
    <n v="6"/>
    <n v="4.8"/>
    <x v="0"/>
    <n v="28.8"/>
    <n v="2.13"/>
    <n v="56.34"/>
    <n v="0.19350000000000001"/>
    <s v="No"/>
    <s v="Windy"/>
    <m/>
  </r>
  <r>
    <d v="2026-06-12T00:00:00"/>
    <x v="2"/>
    <s v="Friday"/>
    <s v="Riverside"/>
    <x v="0"/>
    <x v="0"/>
    <n v="62"/>
    <n v="55"/>
    <n v="7"/>
    <n v="2.5"/>
    <x v="123"/>
    <n v="17.5"/>
    <n v="2.92"/>
    <n v="47.09"/>
    <n v="0.1129"/>
    <s v="No"/>
    <s v="Windy"/>
    <m/>
  </r>
  <r>
    <d v="2026-06-12T00:00:00"/>
    <x v="2"/>
    <s v="Friday"/>
    <s v="Riverside"/>
    <x v="1"/>
    <x v="0"/>
    <n v="48"/>
    <n v="46"/>
    <n v="2"/>
    <n v="2.8"/>
    <x v="11"/>
    <n v="5.6"/>
    <n v="2.2999999999999998"/>
    <n v="56"/>
    <n v="4.1700000000000001E-2"/>
    <s v="No"/>
    <s v="Windy"/>
    <s v="Strong demand"/>
  </r>
  <r>
    <d v="2026-06-12T00:00:00"/>
    <x v="2"/>
    <s v="Friday"/>
    <s v="Riverside"/>
    <x v="2"/>
    <x v="0"/>
    <n v="44"/>
    <n v="34"/>
    <n v="10"/>
    <n v="3.1"/>
    <x v="196"/>
    <n v="31"/>
    <n v="2.29"/>
    <n v="46.03"/>
    <n v="0.2273"/>
    <s v="Yes"/>
    <s v="Windy"/>
    <s v="Review production quantity"/>
  </r>
  <r>
    <d v="2026-06-12T00:00:00"/>
    <x v="2"/>
    <s v="Friday"/>
    <s v="Riverside"/>
    <x v="3"/>
    <x v="1"/>
    <n v="35"/>
    <n v="27"/>
    <n v="8"/>
    <n v="4.2"/>
    <x v="197"/>
    <n v="33.6"/>
    <n v="2.5299999999999998"/>
    <n v="44.82"/>
    <n v="0.2286"/>
    <s v="No"/>
    <s v="Windy"/>
    <m/>
  </r>
  <r>
    <d v="2026-06-12T00:00:00"/>
    <x v="2"/>
    <s v="Friday"/>
    <s v="Riverside"/>
    <x v="4"/>
    <x v="1"/>
    <n v="47"/>
    <n v="36"/>
    <n v="11"/>
    <n v="2.2999999999999998"/>
    <x v="34"/>
    <n v="25.3"/>
    <n v="3.44"/>
    <n v="24.07"/>
    <n v="0.23400000000000001"/>
    <s v="No"/>
    <s v="Windy"/>
    <s v="Review production quantity"/>
  </r>
  <r>
    <d v="2026-06-12T00:00:00"/>
    <x v="2"/>
    <s v="Friday"/>
    <s v="Riverside"/>
    <x v="5"/>
    <x v="1"/>
    <n v="23"/>
    <n v="21"/>
    <n v="2"/>
    <n v="3.8"/>
    <x v="29"/>
    <n v="7.6"/>
    <n v="1.92"/>
    <n v="41.56"/>
    <n v="8.6999999999999994E-2"/>
    <s v="No"/>
    <s v="Windy"/>
    <s v="Strong demand"/>
  </r>
  <r>
    <d v="2026-06-12T00:00:00"/>
    <x v="2"/>
    <s v="Friday"/>
    <s v="Riverside"/>
    <x v="6"/>
    <x v="2"/>
    <n v="45"/>
    <n v="36"/>
    <n v="9"/>
    <n v="2.9"/>
    <x v="130"/>
    <n v="26.1"/>
    <n v="2.54"/>
    <n v="41.1"/>
    <n v="0.2"/>
    <s v="No"/>
    <s v="Windy"/>
    <m/>
  </r>
  <r>
    <d v="2026-06-12T00:00:00"/>
    <x v="2"/>
    <s v="Friday"/>
    <s v="Riverside"/>
    <x v="7"/>
    <x v="2"/>
    <n v="32"/>
    <n v="27"/>
    <n v="5"/>
    <n v="3"/>
    <x v="188"/>
    <n v="15"/>
    <n v="1.69"/>
    <n v="47.93"/>
    <n v="0.15620000000000001"/>
    <s v="No"/>
    <s v="Windy"/>
    <m/>
  </r>
  <r>
    <d v="2026-06-12T00:00:00"/>
    <x v="2"/>
    <s v="Friday"/>
    <s v="Riverside"/>
    <x v="8"/>
    <x v="2"/>
    <n v="25"/>
    <n v="24"/>
    <n v="1"/>
    <n v="3.5"/>
    <x v="14"/>
    <n v="3.5"/>
    <n v="1.41"/>
    <n v="59.57"/>
    <n v="0.04"/>
    <s v="No"/>
    <s v="Windy"/>
    <m/>
  </r>
  <r>
    <d v="2026-06-12T00:00:00"/>
    <x v="2"/>
    <s v="Friday"/>
    <s v="Riverside"/>
    <x v="9"/>
    <x v="3"/>
    <n v="102"/>
    <n v="95"/>
    <n v="7"/>
    <n v="2.4"/>
    <x v="62"/>
    <n v="16.8"/>
    <n v="1.91"/>
    <n v="119.37"/>
    <n v="6.8599999999999994E-2"/>
    <s v="No"/>
    <s v="Windy"/>
    <m/>
  </r>
  <r>
    <d v="2026-06-12T00:00:00"/>
    <x v="2"/>
    <s v="Friday"/>
    <s v="Riverside"/>
    <x v="10"/>
    <x v="3"/>
    <n v="56"/>
    <n v="51"/>
    <n v="5"/>
    <n v="1.8"/>
    <x v="198"/>
    <n v="9"/>
    <n v="1.22"/>
    <n v="75.25"/>
    <n v="8.9300000000000004E-2"/>
    <s v="No"/>
    <s v="Windy"/>
    <s v="Strong demand"/>
  </r>
  <r>
    <d v="2026-06-12T00:00:00"/>
    <x v="2"/>
    <s v="Friday"/>
    <s v="Riverside"/>
    <x v="11"/>
    <x v="4"/>
    <n v="39"/>
    <n v="28"/>
    <n v="11"/>
    <n v="4.5999999999999996"/>
    <x v="11"/>
    <n v="50.6"/>
    <n v="2.68"/>
    <n v="48.06"/>
    <n v="0.28210000000000002"/>
    <s v="No"/>
    <s v="Windy"/>
    <s v="Review production quantity"/>
  </r>
  <r>
    <d v="2026-06-12T00:00:00"/>
    <x v="2"/>
    <s v="Friday"/>
    <s v="Riverside"/>
    <x v="12"/>
    <x v="4"/>
    <n v="25"/>
    <n v="22"/>
    <n v="3"/>
    <n v="4.8"/>
    <x v="142"/>
    <n v="14.4"/>
    <n v="1.65"/>
    <n v="64"/>
    <n v="0.12"/>
    <s v="No"/>
    <s v="Windy"/>
    <m/>
  </r>
  <r>
    <d v="2026-06-15T00:00:00"/>
    <x v="3"/>
    <s v="Monday"/>
    <s v="Main Street"/>
    <x v="0"/>
    <x v="0"/>
    <n v="55"/>
    <n v="42"/>
    <n v="13"/>
    <n v="2.5"/>
    <x v="58"/>
    <n v="32.5"/>
    <n v="2.81"/>
    <n v="37.369999999999997"/>
    <n v="0.2364"/>
    <s v="No"/>
    <s v="Rainy"/>
    <s v="Review production quantity"/>
  </r>
  <r>
    <d v="2026-06-15T00:00:00"/>
    <x v="3"/>
    <s v="Monday"/>
    <s v="Main Street"/>
    <x v="1"/>
    <x v="0"/>
    <n v="44"/>
    <n v="31"/>
    <n v="13"/>
    <n v="2.8"/>
    <x v="74"/>
    <n v="36.4"/>
    <n v="2.0699999999999998"/>
    <n v="41.93"/>
    <n v="0.29549999999999998"/>
    <s v="No"/>
    <s v="Rainy"/>
    <s v="Review production quantity"/>
  </r>
  <r>
    <d v="2026-06-15T00:00:00"/>
    <x v="3"/>
    <s v="Monday"/>
    <s v="Main Street"/>
    <x v="2"/>
    <x v="0"/>
    <n v="31"/>
    <n v="27"/>
    <n v="4"/>
    <n v="3.1"/>
    <x v="118"/>
    <n v="12.4"/>
    <n v="1.66"/>
    <n v="50.42"/>
    <n v="0.129"/>
    <s v="No"/>
    <s v="Rainy"/>
    <m/>
  </r>
  <r>
    <d v="2026-06-15T00:00:00"/>
    <x v="3"/>
    <s v="Monday"/>
    <s v="Main Street"/>
    <x v="3"/>
    <x v="1"/>
    <n v="29"/>
    <n v="25"/>
    <n v="4"/>
    <n v="4.2"/>
    <x v="58"/>
    <n v="16.8"/>
    <n v="2.33"/>
    <n v="45.06"/>
    <n v="0.13789999999999999"/>
    <s v="No"/>
    <s v="Rainy"/>
    <m/>
  </r>
  <r>
    <d v="2026-06-15T00:00:00"/>
    <x v="3"/>
    <s v="Monday"/>
    <s v="Main Street"/>
    <x v="4"/>
    <x v="1"/>
    <n v="38"/>
    <n v="32"/>
    <n v="6"/>
    <n v="2.2999999999999998"/>
    <x v="4"/>
    <n v="13.8"/>
    <n v="2.75"/>
    <n v="26.76"/>
    <n v="0.15790000000000001"/>
    <s v="No"/>
    <s v="Rainy"/>
    <m/>
  </r>
  <r>
    <d v="2026-06-15T00:00:00"/>
    <x v="3"/>
    <s v="Monday"/>
    <s v="Main Street"/>
    <x v="5"/>
    <x v="1"/>
    <n v="20"/>
    <n v="16"/>
    <n v="4"/>
    <n v="3.8"/>
    <x v="40"/>
    <n v="15.2"/>
    <n v="1.5"/>
    <n v="40.53"/>
    <n v="0.2"/>
    <s v="No"/>
    <s v="Rainy"/>
    <m/>
  </r>
  <r>
    <d v="2026-06-15T00:00:00"/>
    <x v="3"/>
    <s v="Monday"/>
    <s v="Main Street"/>
    <x v="6"/>
    <x v="2"/>
    <n v="37"/>
    <n v="34"/>
    <n v="3"/>
    <n v="2.9"/>
    <x v="96"/>
    <n v="8.6999999999999993"/>
    <n v="2.12"/>
    <n v="46.51"/>
    <n v="8.1100000000000005E-2"/>
    <s v="Yes"/>
    <s v="Rainy"/>
    <s v="Promotion active"/>
  </r>
  <r>
    <d v="2026-06-15T00:00:00"/>
    <x v="3"/>
    <s v="Monday"/>
    <s v="Main Street"/>
    <x v="7"/>
    <x v="2"/>
    <n v="31"/>
    <n v="25"/>
    <n v="6"/>
    <n v="3"/>
    <x v="60"/>
    <n v="18"/>
    <n v="1.85"/>
    <n v="40.54"/>
    <n v="0.19350000000000001"/>
    <s v="No"/>
    <s v="Rainy"/>
    <m/>
  </r>
  <r>
    <d v="2026-06-15T00:00:00"/>
    <x v="3"/>
    <s v="Monday"/>
    <s v="Main Street"/>
    <x v="8"/>
    <x v="2"/>
    <n v="21"/>
    <n v="20"/>
    <n v="1"/>
    <n v="3.5"/>
    <x v="131"/>
    <n v="3.5"/>
    <n v="1.27"/>
    <n v="55.12"/>
    <n v="4.7600000000000003E-2"/>
    <s v="No"/>
    <s v="Rainy"/>
    <m/>
  </r>
  <r>
    <d v="2026-06-15T00:00:00"/>
    <x v="3"/>
    <s v="Monday"/>
    <s v="Main Street"/>
    <x v="9"/>
    <x v="3"/>
    <n v="86"/>
    <n v="77"/>
    <n v="9"/>
    <n v="2.4"/>
    <x v="144"/>
    <n v="21.6"/>
    <n v="1.79"/>
    <n v="103.24"/>
    <n v="0.1047"/>
    <s v="No"/>
    <s v="Rainy"/>
    <m/>
  </r>
  <r>
    <d v="2026-06-15T00:00:00"/>
    <x v="3"/>
    <s v="Monday"/>
    <s v="Main Street"/>
    <x v="10"/>
    <x v="3"/>
    <n v="44"/>
    <n v="39"/>
    <n v="5"/>
    <n v="1.8"/>
    <x v="199"/>
    <n v="9"/>
    <n v="1.1299999999999999"/>
    <n v="62.12"/>
    <n v="0.11360000000000001"/>
    <s v="No"/>
    <s v="Rainy"/>
    <m/>
  </r>
  <r>
    <d v="2026-06-15T00:00:00"/>
    <x v="3"/>
    <s v="Monday"/>
    <s v="Main Street"/>
    <x v="11"/>
    <x v="4"/>
    <n v="33"/>
    <n v="27"/>
    <n v="6"/>
    <n v="4.5999999999999996"/>
    <x v="83"/>
    <n v="27.6"/>
    <n v="2.12"/>
    <n v="58.58"/>
    <n v="0.18179999999999999"/>
    <s v="No"/>
    <s v="Rainy"/>
    <m/>
  </r>
  <r>
    <d v="2026-06-15T00:00:00"/>
    <x v="3"/>
    <s v="Monday"/>
    <s v="Main Street"/>
    <x v="12"/>
    <x v="4"/>
    <n v="20"/>
    <n v="18"/>
    <n v="2"/>
    <n v="4.8"/>
    <x v="43"/>
    <n v="9.6"/>
    <n v="1.4"/>
    <n v="61.71"/>
    <n v="0.1"/>
    <s v="No"/>
    <s v="Rainy"/>
    <m/>
  </r>
  <r>
    <d v="2026-06-15T00:00:00"/>
    <x v="3"/>
    <s v="Monday"/>
    <s v="Riverside"/>
    <x v="0"/>
    <x v="0"/>
    <n v="43"/>
    <n v="34"/>
    <n v="9"/>
    <n v="2.5"/>
    <x v="101"/>
    <n v="22.5"/>
    <n v="2.2000000000000002"/>
    <n v="38.64"/>
    <n v="0.20930000000000001"/>
    <s v="No"/>
    <s v="Rainy"/>
    <m/>
  </r>
  <r>
    <d v="2026-06-15T00:00:00"/>
    <x v="3"/>
    <s v="Monday"/>
    <s v="Riverside"/>
    <x v="1"/>
    <x v="0"/>
    <n v="34"/>
    <n v="30"/>
    <n v="4"/>
    <n v="2.8"/>
    <x v="14"/>
    <n v="11.2"/>
    <n v="1.62"/>
    <n v="51.85"/>
    <n v="0.1176"/>
    <s v="No"/>
    <s v="Rainy"/>
    <m/>
  </r>
  <r>
    <d v="2026-06-15T00:00:00"/>
    <x v="3"/>
    <s v="Monday"/>
    <s v="Riverside"/>
    <x v="2"/>
    <x v="0"/>
    <n v="26"/>
    <n v="21"/>
    <n v="5"/>
    <n v="3.1"/>
    <x v="103"/>
    <n v="15.5"/>
    <n v="1.36"/>
    <n v="47.87"/>
    <n v="0.1923"/>
    <s v="No"/>
    <s v="Rainy"/>
    <m/>
  </r>
  <r>
    <d v="2026-06-15T00:00:00"/>
    <x v="3"/>
    <s v="Monday"/>
    <s v="Riverside"/>
    <x v="3"/>
    <x v="1"/>
    <n v="20"/>
    <n v="16"/>
    <n v="4"/>
    <n v="4.2"/>
    <x v="111"/>
    <n v="16.8"/>
    <n v="1.54"/>
    <n v="43.64"/>
    <n v="0.2"/>
    <s v="No"/>
    <s v="Rainy"/>
    <m/>
  </r>
  <r>
    <d v="2026-06-15T00:00:00"/>
    <x v="3"/>
    <s v="Monday"/>
    <s v="Riverside"/>
    <x v="4"/>
    <x v="1"/>
    <n v="30"/>
    <n v="23"/>
    <n v="7"/>
    <n v="2.2999999999999998"/>
    <x v="200"/>
    <n v="16.100000000000001"/>
    <n v="2.41"/>
    <n v="21.95"/>
    <n v="0.23330000000000001"/>
    <s v="No"/>
    <s v="Rainy"/>
    <m/>
  </r>
  <r>
    <d v="2026-06-15T00:00:00"/>
    <x v="3"/>
    <s v="Monday"/>
    <s v="Riverside"/>
    <x v="5"/>
    <x v="1"/>
    <n v="15"/>
    <n v="13"/>
    <n v="2"/>
    <n v="3.8"/>
    <x v="201"/>
    <n v="7.6"/>
    <n v="1.19"/>
    <n v="41.51"/>
    <n v="0.1333"/>
    <s v="No"/>
    <s v="Rainy"/>
    <m/>
  </r>
  <r>
    <d v="2026-06-15T00:00:00"/>
    <x v="3"/>
    <s v="Monday"/>
    <s v="Riverside"/>
    <x v="6"/>
    <x v="2"/>
    <n v="27"/>
    <n v="23"/>
    <n v="4"/>
    <n v="2.9"/>
    <x v="202"/>
    <n v="11.6"/>
    <n v="1.55"/>
    <n v="43.03"/>
    <n v="0.14810000000000001"/>
    <s v="No"/>
    <s v="Rainy"/>
    <m/>
  </r>
  <r>
    <d v="2026-06-15T00:00:00"/>
    <x v="3"/>
    <s v="Monday"/>
    <s v="Riverside"/>
    <x v="7"/>
    <x v="2"/>
    <n v="21"/>
    <n v="21"/>
    <n v="0"/>
    <n v="3"/>
    <x v="21"/>
    <n v="0"/>
    <n v="1.25"/>
    <n v="50.4"/>
    <n v="0"/>
    <s v="No"/>
    <s v="Rainy"/>
    <m/>
  </r>
  <r>
    <d v="2026-06-15T00:00:00"/>
    <x v="3"/>
    <s v="Monday"/>
    <s v="Riverside"/>
    <x v="8"/>
    <x v="2"/>
    <n v="19"/>
    <n v="17"/>
    <n v="2"/>
    <n v="3.5"/>
    <x v="41"/>
    <n v="7"/>
    <n v="1.02"/>
    <n v="58.33"/>
    <n v="0.1053"/>
    <s v="Yes"/>
    <s v="Rainy"/>
    <s v="Promotion active"/>
  </r>
  <r>
    <d v="2026-06-15T00:00:00"/>
    <x v="3"/>
    <s v="Monday"/>
    <s v="Riverside"/>
    <x v="9"/>
    <x v="3"/>
    <n v="70"/>
    <n v="64"/>
    <n v="6"/>
    <n v="2.4"/>
    <x v="203"/>
    <n v="14.4"/>
    <n v="1.45"/>
    <n v="105.93"/>
    <n v="8.5699999999999998E-2"/>
    <s v="No"/>
    <s v="Rainy"/>
    <m/>
  </r>
  <r>
    <d v="2026-06-15T00:00:00"/>
    <x v="3"/>
    <s v="Monday"/>
    <s v="Riverside"/>
    <x v="10"/>
    <x v="3"/>
    <n v="36"/>
    <n v="32"/>
    <n v="4"/>
    <n v="1.8"/>
    <x v="204"/>
    <n v="7.2"/>
    <n v="0.96"/>
    <n v="60"/>
    <n v="0.1111"/>
    <s v="No"/>
    <s v="Rainy"/>
    <m/>
  </r>
  <r>
    <d v="2026-06-15T00:00:00"/>
    <x v="3"/>
    <s v="Monday"/>
    <s v="Riverside"/>
    <x v="11"/>
    <x v="4"/>
    <n v="26"/>
    <n v="20"/>
    <n v="6"/>
    <n v="4.5999999999999996"/>
    <x v="67"/>
    <n v="27.6"/>
    <n v="1.73"/>
    <n v="53.18"/>
    <n v="0.23080000000000001"/>
    <s v="No"/>
    <s v="Rainy"/>
    <m/>
  </r>
  <r>
    <d v="2026-06-15T00:00:00"/>
    <x v="3"/>
    <s v="Monday"/>
    <s v="Riverside"/>
    <x v="12"/>
    <x v="4"/>
    <n v="16"/>
    <n v="14"/>
    <n v="2"/>
    <n v="4.8"/>
    <x v="111"/>
    <n v="9.6"/>
    <n v="1.03"/>
    <n v="65.239999999999995"/>
    <n v="0.125"/>
    <s v="No"/>
    <s v="Rainy"/>
    <m/>
  </r>
  <r>
    <d v="2026-06-16T00:00:00"/>
    <x v="3"/>
    <s v="Tuesday"/>
    <s v="Main Street"/>
    <x v="0"/>
    <x v="0"/>
    <n v="61"/>
    <n v="60"/>
    <n v="1"/>
    <n v="2.5"/>
    <x v="205"/>
    <n v="2.5"/>
    <n v="3"/>
    <n v="50"/>
    <n v="1.6400000000000001E-2"/>
    <s v="No"/>
    <s v="Cloudy"/>
    <m/>
  </r>
  <r>
    <d v="2026-06-16T00:00:00"/>
    <x v="3"/>
    <s v="Tuesday"/>
    <s v="Main Street"/>
    <x v="1"/>
    <x v="0"/>
    <n v="53"/>
    <n v="40"/>
    <n v="13"/>
    <n v="2.8"/>
    <x v="51"/>
    <n v="36.4"/>
    <n v="2.67"/>
    <n v="41.95"/>
    <n v="0.24529999999999999"/>
    <s v="No"/>
    <s v="Cloudy"/>
    <s v="Review production quantity"/>
  </r>
  <r>
    <d v="2026-06-16T00:00:00"/>
    <x v="3"/>
    <s v="Tuesday"/>
    <s v="Main Street"/>
    <x v="2"/>
    <x v="0"/>
    <n v="42"/>
    <n v="35"/>
    <n v="7"/>
    <n v="3.1"/>
    <x v="149"/>
    <n v="21.7"/>
    <n v="2"/>
    <n v="54.25"/>
    <n v="0.16669999999999999"/>
    <s v="No"/>
    <s v="Cloudy"/>
    <m/>
  </r>
  <r>
    <d v="2026-06-16T00:00:00"/>
    <x v="3"/>
    <s v="Tuesday"/>
    <s v="Main Street"/>
    <x v="3"/>
    <x v="1"/>
    <n v="32"/>
    <n v="25"/>
    <n v="7"/>
    <n v="4.2"/>
    <x v="58"/>
    <n v="29.4"/>
    <n v="2.33"/>
    <n v="45.06"/>
    <n v="0.21879999999999999"/>
    <s v="No"/>
    <s v="Cloudy"/>
    <m/>
  </r>
  <r>
    <d v="2026-06-16T00:00:00"/>
    <x v="3"/>
    <s v="Tuesday"/>
    <s v="Main Street"/>
    <x v="4"/>
    <x v="1"/>
    <n v="44"/>
    <n v="37"/>
    <n v="7"/>
    <n v="2.2999999999999998"/>
    <x v="94"/>
    <n v="16.100000000000001"/>
    <n v="3.31"/>
    <n v="25.71"/>
    <n v="0.15909999999999999"/>
    <s v="No"/>
    <s v="Cloudy"/>
    <m/>
  </r>
  <r>
    <d v="2026-06-16T00:00:00"/>
    <x v="3"/>
    <s v="Tuesday"/>
    <s v="Main Street"/>
    <x v="5"/>
    <x v="1"/>
    <n v="22"/>
    <n v="20"/>
    <n v="2"/>
    <n v="3.8"/>
    <x v="168"/>
    <n v="7.6"/>
    <n v="1.64"/>
    <n v="46.34"/>
    <n v="9.0899999999999995E-2"/>
    <s v="No"/>
    <s v="Cloudy"/>
    <m/>
  </r>
  <r>
    <d v="2026-06-16T00:00:00"/>
    <x v="3"/>
    <s v="Tuesday"/>
    <s v="Main Street"/>
    <x v="6"/>
    <x v="2"/>
    <n v="49"/>
    <n v="38"/>
    <n v="11"/>
    <n v="2.9"/>
    <x v="30"/>
    <n v="31.9"/>
    <n v="2.6"/>
    <n v="42.38"/>
    <n v="0.22450000000000001"/>
    <s v="Yes"/>
    <s v="Cloudy"/>
    <s v="Review production quantity"/>
  </r>
  <r>
    <d v="2026-06-16T00:00:00"/>
    <x v="3"/>
    <s v="Tuesday"/>
    <s v="Main Street"/>
    <x v="7"/>
    <x v="2"/>
    <n v="35"/>
    <n v="31"/>
    <n v="4"/>
    <n v="3"/>
    <x v="128"/>
    <n v="12"/>
    <n v="1.89"/>
    <n v="49.21"/>
    <n v="0.1143"/>
    <s v="No"/>
    <s v="Cloudy"/>
    <m/>
  </r>
  <r>
    <d v="2026-06-16T00:00:00"/>
    <x v="3"/>
    <s v="Tuesday"/>
    <s v="Main Street"/>
    <x v="8"/>
    <x v="2"/>
    <n v="27"/>
    <n v="24"/>
    <n v="3"/>
    <n v="3.5"/>
    <x v="14"/>
    <n v="10.5"/>
    <n v="1.69"/>
    <n v="49.7"/>
    <n v="0.1111"/>
    <s v="No"/>
    <s v="Cloudy"/>
    <m/>
  </r>
  <r>
    <d v="2026-06-16T00:00:00"/>
    <x v="3"/>
    <s v="Tuesday"/>
    <s v="Main Street"/>
    <x v="9"/>
    <x v="3"/>
    <n v="106"/>
    <n v="98"/>
    <n v="8"/>
    <n v="2.4"/>
    <x v="206"/>
    <n v="19.2"/>
    <n v="2.16"/>
    <n v="108.89"/>
    <n v="7.5499999999999998E-2"/>
    <s v="No"/>
    <s v="Cloudy"/>
    <m/>
  </r>
  <r>
    <d v="2026-06-16T00:00:00"/>
    <x v="3"/>
    <s v="Tuesday"/>
    <s v="Main Street"/>
    <x v="10"/>
    <x v="3"/>
    <n v="55"/>
    <n v="54"/>
    <n v="1"/>
    <n v="1.8"/>
    <x v="171"/>
    <n v="1.8"/>
    <n v="1.27"/>
    <n v="76.540000000000006"/>
    <n v="1.8200000000000001E-2"/>
    <s v="No"/>
    <s v="Cloudy"/>
    <m/>
  </r>
  <r>
    <d v="2026-06-16T00:00:00"/>
    <x v="3"/>
    <s v="Tuesday"/>
    <s v="Main Street"/>
    <x v="11"/>
    <x v="4"/>
    <n v="37"/>
    <n v="33"/>
    <n v="4"/>
    <n v="4.5999999999999996"/>
    <x v="207"/>
    <n v="18.399999999999999"/>
    <n v="2.4500000000000002"/>
    <n v="61.96"/>
    <n v="0.1081"/>
    <s v="No"/>
    <s v="Cloudy"/>
    <m/>
  </r>
  <r>
    <d v="2026-06-16T00:00:00"/>
    <x v="3"/>
    <s v="Tuesday"/>
    <s v="Main Street"/>
    <x v="12"/>
    <x v="4"/>
    <n v="26"/>
    <n v="22"/>
    <n v="4"/>
    <n v="4.8"/>
    <x v="142"/>
    <n v="19.2"/>
    <n v="1.86"/>
    <n v="56.77"/>
    <n v="0.15379999999999999"/>
    <s v="No"/>
    <s v="Cloudy"/>
    <m/>
  </r>
  <r>
    <d v="2026-06-16T00:00:00"/>
    <x v="3"/>
    <s v="Tuesday"/>
    <s v="Riverside"/>
    <x v="0"/>
    <x v="0"/>
    <n v="52"/>
    <n v="38"/>
    <n v="14"/>
    <n v="2.5"/>
    <x v="36"/>
    <n v="35"/>
    <n v="2.67"/>
    <n v="35.58"/>
    <n v="0.26919999999999999"/>
    <s v="No"/>
    <s v="Cloudy"/>
    <s v="Review production quantity"/>
  </r>
  <r>
    <d v="2026-06-16T00:00:00"/>
    <x v="3"/>
    <s v="Tuesday"/>
    <s v="Riverside"/>
    <x v="1"/>
    <x v="0"/>
    <n v="35"/>
    <n v="31"/>
    <n v="4"/>
    <n v="2.8"/>
    <x v="74"/>
    <n v="11.2"/>
    <n v="1.67"/>
    <n v="51.98"/>
    <n v="0.1143"/>
    <s v="No"/>
    <s v="Cloudy"/>
    <m/>
  </r>
  <r>
    <d v="2026-06-16T00:00:00"/>
    <x v="3"/>
    <s v="Tuesday"/>
    <s v="Riverside"/>
    <x v="2"/>
    <x v="0"/>
    <n v="30"/>
    <n v="28"/>
    <n v="2"/>
    <n v="3.1"/>
    <x v="74"/>
    <n v="6.2"/>
    <n v="1.68"/>
    <n v="51.67"/>
    <n v="6.6699999999999995E-2"/>
    <s v="No"/>
    <s v="Cloudy"/>
    <m/>
  </r>
  <r>
    <d v="2026-06-16T00:00:00"/>
    <x v="3"/>
    <s v="Tuesday"/>
    <s v="Riverside"/>
    <x v="3"/>
    <x v="1"/>
    <n v="30"/>
    <n v="22"/>
    <n v="8"/>
    <n v="4.2"/>
    <x v="119"/>
    <n v="33.6"/>
    <n v="2.19"/>
    <n v="42.19"/>
    <n v="0.26669999999999999"/>
    <s v="Yes"/>
    <s v="Cloudy"/>
    <s v="Promotion active"/>
  </r>
  <r>
    <d v="2026-06-16T00:00:00"/>
    <x v="3"/>
    <s v="Tuesday"/>
    <s v="Riverside"/>
    <x v="4"/>
    <x v="1"/>
    <n v="33"/>
    <n v="30"/>
    <n v="3"/>
    <n v="2.2999999999999998"/>
    <x v="98"/>
    <n v="6.9"/>
    <n v="2.52"/>
    <n v="27.38"/>
    <n v="9.0899999999999995E-2"/>
    <s v="No"/>
    <s v="Cloudy"/>
    <m/>
  </r>
  <r>
    <d v="2026-06-16T00:00:00"/>
    <x v="3"/>
    <s v="Tuesday"/>
    <s v="Riverside"/>
    <x v="5"/>
    <x v="1"/>
    <n v="17"/>
    <n v="17"/>
    <n v="0"/>
    <n v="3.8"/>
    <x v="5"/>
    <n v="0"/>
    <n v="1.34"/>
    <n v="48.21"/>
    <n v="0"/>
    <s v="No"/>
    <s v="Cloudy"/>
    <m/>
  </r>
  <r>
    <d v="2026-06-16T00:00:00"/>
    <x v="3"/>
    <s v="Tuesday"/>
    <s v="Riverside"/>
    <x v="6"/>
    <x v="2"/>
    <n v="34"/>
    <n v="29"/>
    <n v="5"/>
    <n v="2.9"/>
    <x v="208"/>
    <n v="14.5"/>
    <n v="1.94"/>
    <n v="43.35"/>
    <n v="0.14710000000000001"/>
    <s v="No"/>
    <s v="Cloudy"/>
    <m/>
  </r>
  <r>
    <d v="2026-06-16T00:00:00"/>
    <x v="3"/>
    <s v="Tuesday"/>
    <s v="Riverside"/>
    <x v="7"/>
    <x v="2"/>
    <n v="28"/>
    <n v="21"/>
    <n v="7"/>
    <n v="3"/>
    <x v="21"/>
    <n v="21"/>
    <n v="1.52"/>
    <n v="41.45"/>
    <n v="0.25"/>
    <s v="No"/>
    <s v="Cloudy"/>
    <m/>
  </r>
  <r>
    <d v="2026-06-16T00:00:00"/>
    <x v="3"/>
    <s v="Tuesday"/>
    <s v="Riverside"/>
    <x v="8"/>
    <x v="2"/>
    <n v="21"/>
    <n v="20"/>
    <n v="1"/>
    <n v="3.5"/>
    <x v="131"/>
    <n v="3.5"/>
    <n v="1.19"/>
    <n v="58.82"/>
    <n v="4.7600000000000003E-2"/>
    <s v="No"/>
    <s v="Cloudy"/>
    <m/>
  </r>
  <r>
    <d v="2026-06-16T00:00:00"/>
    <x v="3"/>
    <s v="Tuesday"/>
    <s v="Riverside"/>
    <x v="9"/>
    <x v="3"/>
    <n v="79"/>
    <n v="76"/>
    <n v="3"/>
    <n v="2.4"/>
    <x v="209"/>
    <n v="7.2"/>
    <n v="1.57"/>
    <n v="116.18"/>
    <n v="3.7999999999999999E-2"/>
    <s v="No"/>
    <s v="Cloudy"/>
    <m/>
  </r>
  <r>
    <d v="2026-06-16T00:00:00"/>
    <x v="3"/>
    <s v="Tuesday"/>
    <s v="Riverside"/>
    <x v="10"/>
    <x v="3"/>
    <n v="45"/>
    <n v="41"/>
    <n v="4"/>
    <n v="1.8"/>
    <x v="63"/>
    <n v="7.2"/>
    <n v="0.94"/>
    <n v="78.510000000000005"/>
    <n v="8.8900000000000007E-2"/>
    <s v="No"/>
    <s v="Cloudy"/>
    <m/>
  </r>
  <r>
    <d v="2026-06-16T00:00:00"/>
    <x v="3"/>
    <s v="Tuesday"/>
    <s v="Riverside"/>
    <x v="11"/>
    <x v="4"/>
    <n v="30"/>
    <n v="24"/>
    <n v="6"/>
    <n v="4.5999999999999996"/>
    <x v="122"/>
    <n v="27.6"/>
    <n v="2.14"/>
    <n v="51.59"/>
    <n v="0.2"/>
    <s v="No"/>
    <s v="Cloudy"/>
    <m/>
  </r>
  <r>
    <d v="2026-06-16T00:00:00"/>
    <x v="3"/>
    <s v="Tuesday"/>
    <s v="Riverside"/>
    <x v="12"/>
    <x v="4"/>
    <n v="22"/>
    <n v="18"/>
    <n v="4"/>
    <n v="4.8"/>
    <x v="43"/>
    <n v="19.2"/>
    <n v="1.46"/>
    <n v="59.18"/>
    <n v="0.18179999999999999"/>
    <s v="No"/>
    <s v="Cloudy"/>
    <m/>
  </r>
  <r>
    <d v="2026-06-17T00:00:00"/>
    <x v="3"/>
    <s v="Wednesday"/>
    <s v="Main Street"/>
    <x v="0"/>
    <x v="0"/>
    <n v="71"/>
    <n v="61"/>
    <n v="10"/>
    <n v="2.5"/>
    <x v="44"/>
    <n v="25"/>
    <n v="3.32"/>
    <n v="45.93"/>
    <n v="0.14080000000000001"/>
    <s v="No"/>
    <s v="Sunny"/>
    <s v="Review production quantity"/>
  </r>
  <r>
    <d v="2026-06-17T00:00:00"/>
    <x v="3"/>
    <s v="Wednesday"/>
    <s v="Main Street"/>
    <x v="1"/>
    <x v="0"/>
    <n v="53"/>
    <n v="48"/>
    <n v="5"/>
    <n v="2.8"/>
    <x v="47"/>
    <n v="14"/>
    <n v="2.71"/>
    <n v="49.59"/>
    <n v="9.4299999999999995E-2"/>
    <s v="No"/>
    <s v="Sunny"/>
    <m/>
  </r>
  <r>
    <d v="2026-06-17T00:00:00"/>
    <x v="3"/>
    <s v="Wednesday"/>
    <s v="Main Street"/>
    <x v="2"/>
    <x v="0"/>
    <n v="42"/>
    <n v="39"/>
    <n v="3"/>
    <n v="3.1"/>
    <x v="46"/>
    <n v="9.3000000000000007"/>
    <n v="2.12"/>
    <n v="57.03"/>
    <n v="7.1400000000000005E-2"/>
    <s v="No"/>
    <s v="Sunny"/>
    <m/>
  </r>
  <r>
    <d v="2026-06-17T00:00:00"/>
    <x v="3"/>
    <s v="Wednesday"/>
    <s v="Main Street"/>
    <x v="3"/>
    <x v="1"/>
    <n v="38"/>
    <n v="32"/>
    <n v="6"/>
    <n v="4.2"/>
    <x v="47"/>
    <n v="25.2"/>
    <n v="2.9"/>
    <n v="46.34"/>
    <n v="0.15790000000000001"/>
    <s v="No"/>
    <s v="Sunny"/>
    <m/>
  </r>
  <r>
    <d v="2026-06-17T00:00:00"/>
    <x v="3"/>
    <s v="Wednesday"/>
    <s v="Main Street"/>
    <x v="4"/>
    <x v="1"/>
    <n v="50"/>
    <n v="45"/>
    <n v="5"/>
    <n v="2.2999999999999998"/>
    <x v="210"/>
    <n v="11.5"/>
    <n v="3.58"/>
    <n v="28.91"/>
    <n v="0.1"/>
    <s v="No"/>
    <s v="Sunny"/>
    <m/>
  </r>
  <r>
    <d v="2026-06-17T00:00:00"/>
    <x v="3"/>
    <s v="Wednesday"/>
    <s v="Main Street"/>
    <x v="5"/>
    <x v="1"/>
    <n v="24"/>
    <n v="23"/>
    <n v="1"/>
    <n v="3.8"/>
    <x v="49"/>
    <n v="3.8"/>
    <n v="2.0099999999999998"/>
    <n v="43.48"/>
    <n v="4.1700000000000001E-2"/>
    <s v="No"/>
    <s v="Sunny"/>
    <m/>
  </r>
  <r>
    <d v="2026-06-17T00:00:00"/>
    <x v="3"/>
    <s v="Wednesday"/>
    <s v="Main Street"/>
    <x v="6"/>
    <x v="2"/>
    <n v="52"/>
    <n v="44"/>
    <n v="8"/>
    <n v="2.9"/>
    <x v="176"/>
    <n v="23.2"/>
    <n v="2.79"/>
    <n v="45.73"/>
    <n v="0.15379999999999999"/>
    <s v="No"/>
    <s v="Sunny"/>
    <m/>
  </r>
  <r>
    <d v="2026-06-17T00:00:00"/>
    <x v="3"/>
    <s v="Wednesday"/>
    <s v="Main Street"/>
    <x v="7"/>
    <x v="2"/>
    <n v="43"/>
    <n v="32"/>
    <n v="11"/>
    <n v="3"/>
    <x v="68"/>
    <n v="33"/>
    <n v="2.39"/>
    <n v="40.17"/>
    <n v="0.25580000000000003"/>
    <s v="No"/>
    <s v="Sunny"/>
    <s v="Review production quantity"/>
  </r>
  <r>
    <d v="2026-06-17T00:00:00"/>
    <x v="3"/>
    <s v="Wednesday"/>
    <s v="Main Street"/>
    <x v="8"/>
    <x v="2"/>
    <n v="33"/>
    <n v="31"/>
    <n v="2"/>
    <n v="3.5"/>
    <x v="149"/>
    <n v="7"/>
    <n v="1.86"/>
    <n v="58.33"/>
    <n v="6.0600000000000001E-2"/>
    <s v="Yes"/>
    <s v="Sunny"/>
    <s v="Strong demand"/>
  </r>
  <r>
    <d v="2026-06-17T00:00:00"/>
    <x v="3"/>
    <s v="Wednesday"/>
    <s v="Main Street"/>
    <x v="9"/>
    <x v="3"/>
    <n v="126"/>
    <n v="117"/>
    <n v="9"/>
    <n v="2.4"/>
    <x v="211"/>
    <n v="21.6"/>
    <n v="2.37"/>
    <n v="118.48"/>
    <n v="7.1400000000000005E-2"/>
    <s v="No"/>
    <s v="Sunny"/>
    <m/>
  </r>
  <r>
    <d v="2026-06-17T00:00:00"/>
    <x v="3"/>
    <s v="Wednesday"/>
    <s v="Main Street"/>
    <x v="10"/>
    <x v="3"/>
    <n v="69"/>
    <n v="69"/>
    <n v="0"/>
    <n v="1.8"/>
    <x v="83"/>
    <n v="0"/>
    <n v="1.59"/>
    <n v="78.11"/>
    <n v="0"/>
    <s v="Yes"/>
    <s v="Sunny"/>
    <s v="Strong demand"/>
  </r>
  <r>
    <d v="2026-06-17T00:00:00"/>
    <x v="3"/>
    <s v="Wednesday"/>
    <s v="Main Street"/>
    <x v="11"/>
    <x v="4"/>
    <n v="43"/>
    <n v="40"/>
    <n v="3"/>
    <n v="4.5999999999999996"/>
    <x v="195"/>
    <n v="13.8"/>
    <n v="2.92"/>
    <n v="63.01"/>
    <n v="6.9800000000000001E-2"/>
    <s v="No"/>
    <s v="Sunny"/>
    <m/>
  </r>
  <r>
    <d v="2026-06-17T00:00:00"/>
    <x v="3"/>
    <s v="Wednesday"/>
    <s v="Main Street"/>
    <x v="12"/>
    <x v="4"/>
    <n v="35"/>
    <n v="25"/>
    <n v="10"/>
    <n v="4.8"/>
    <x v="0"/>
    <n v="48"/>
    <n v="2.3199999999999998"/>
    <n v="51.72"/>
    <n v="0.28570000000000001"/>
    <s v="Yes"/>
    <s v="Sunny"/>
    <s v="Review production quantity"/>
  </r>
  <r>
    <d v="2026-06-17T00:00:00"/>
    <x v="3"/>
    <s v="Wednesday"/>
    <s v="Riverside"/>
    <x v="0"/>
    <x v="0"/>
    <n v="63"/>
    <n v="46"/>
    <n v="17"/>
    <n v="2.5"/>
    <x v="13"/>
    <n v="42.5"/>
    <n v="3.18"/>
    <n v="36.159999999999997"/>
    <n v="0.26979999999999998"/>
    <s v="No"/>
    <s v="Sunny"/>
    <s v="Review production quantity"/>
  </r>
  <r>
    <d v="2026-06-17T00:00:00"/>
    <x v="3"/>
    <s v="Wednesday"/>
    <s v="Riverside"/>
    <x v="1"/>
    <x v="0"/>
    <n v="44"/>
    <n v="41"/>
    <n v="3"/>
    <n v="2.8"/>
    <x v="212"/>
    <n v="8.4"/>
    <n v="2.29"/>
    <n v="50.13"/>
    <n v="6.8199999999999997E-2"/>
    <s v="No"/>
    <s v="Sunny"/>
    <m/>
  </r>
  <r>
    <d v="2026-06-17T00:00:00"/>
    <x v="3"/>
    <s v="Wednesday"/>
    <s v="Riverside"/>
    <x v="2"/>
    <x v="0"/>
    <n v="34"/>
    <n v="27"/>
    <n v="7"/>
    <n v="3.1"/>
    <x v="118"/>
    <n v="21.7"/>
    <n v="1.63"/>
    <n v="51.35"/>
    <n v="0.2059"/>
    <s v="No"/>
    <s v="Sunny"/>
    <m/>
  </r>
  <r>
    <d v="2026-06-17T00:00:00"/>
    <x v="3"/>
    <s v="Wednesday"/>
    <s v="Riverside"/>
    <x v="3"/>
    <x v="1"/>
    <n v="28"/>
    <n v="23"/>
    <n v="5"/>
    <n v="4.2"/>
    <x v="110"/>
    <n v="21"/>
    <n v="2.23"/>
    <n v="43.32"/>
    <n v="0.17860000000000001"/>
    <s v="No"/>
    <s v="Sunny"/>
    <m/>
  </r>
  <r>
    <d v="2026-06-17T00:00:00"/>
    <x v="3"/>
    <s v="Wednesday"/>
    <s v="Riverside"/>
    <x v="4"/>
    <x v="1"/>
    <n v="40"/>
    <n v="36"/>
    <n v="4"/>
    <n v="2.2999999999999998"/>
    <x v="34"/>
    <n v="9.1999999999999993"/>
    <n v="2.9"/>
    <n v="28.55"/>
    <n v="0.1"/>
    <s v="No"/>
    <s v="Sunny"/>
    <m/>
  </r>
  <r>
    <d v="2026-06-17T00:00:00"/>
    <x v="3"/>
    <s v="Wednesday"/>
    <s v="Riverside"/>
    <x v="5"/>
    <x v="1"/>
    <n v="22"/>
    <n v="19"/>
    <n v="3"/>
    <n v="3.8"/>
    <x v="59"/>
    <n v="11.4"/>
    <n v="1.74"/>
    <n v="41.49"/>
    <n v="0.13639999999999999"/>
    <s v="No"/>
    <s v="Sunny"/>
    <m/>
  </r>
  <r>
    <d v="2026-06-17T00:00:00"/>
    <x v="3"/>
    <s v="Wednesday"/>
    <s v="Riverside"/>
    <x v="6"/>
    <x v="2"/>
    <n v="39"/>
    <n v="30"/>
    <n v="9"/>
    <n v="2.9"/>
    <x v="7"/>
    <n v="26.1"/>
    <n v="2.04"/>
    <n v="42.65"/>
    <n v="0.23080000000000001"/>
    <s v="No"/>
    <s v="Sunny"/>
    <m/>
  </r>
  <r>
    <d v="2026-06-17T00:00:00"/>
    <x v="3"/>
    <s v="Wednesday"/>
    <s v="Riverside"/>
    <x v="7"/>
    <x v="2"/>
    <n v="30"/>
    <n v="25"/>
    <n v="5"/>
    <n v="3"/>
    <x v="60"/>
    <n v="15"/>
    <n v="1.62"/>
    <n v="46.3"/>
    <n v="0.16669999999999999"/>
    <s v="No"/>
    <s v="Sunny"/>
    <m/>
  </r>
  <r>
    <d v="2026-06-17T00:00:00"/>
    <x v="3"/>
    <s v="Wednesday"/>
    <s v="Riverside"/>
    <x v="8"/>
    <x v="2"/>
    <n v="27"/>
    <n v="20"/>
    <n v="7"/>
    <n v="3.5"/>
    <x v="131"/>
    <n v="24.5"/>
    <n v="1.62"/>
    <n v="43.21"/>
    <n v="0.25929999999999997"/>
    <s v="No"/>
    <s v="Sunny"/>
    <m/>
  </r>
  <r>
    <d v="2026-06-17T00:00:00"/>
    <x v="3"/>
    <s v="Wednesday"/>
    <s v="Riverside"/>
    <x v="9"/>
    <x v="3"/>
    <n v="94"/>
    <n v="88"/>
    <n v="6"/>
    <n v="2.4"/>
    <x v="213"/>
    <n v="14.4"/>
    <n v="1.76"/>
    <n v="120"/>
    <n v="6.3799999999999996E-2"/>
    <s v="No"/>
    <s v="Sunny"/>
    <m/>
  </r>
  <r>
    <d v="2026-06-17T00:00:00"/>
    <x v="3"/>
    <s v="Wednesday"/>
    <s v="Riverside"/>
    <x v="10"/>
    <x v="3"/>
    <n v="46"/>
    <n v="43"/>
    <n v="3"/>
    <n v="1.8"/>
    <x v="214"/>
    <n v="5.4"/>
    <n v="1.03"/>
    <n v="75.150000000000006"/>
    <n v="6.5199999999999994E-2"/>
    <s v="No"/>
    <s v="Sunny"/>
    <m/>
  </r>
  <r>
    <d v="2026-06-17T00:00:00"/>
    <x v="3"/>
    <s v="Wednesday"/>
    <s v="Riverside"/>
    <x v="11"/>
    <x v="4"/>
    <n v="39"/>
    <n v="30"/>
    <n v="9"/>
    <n v="4.5999999999999996"/>
    <x v="215"/>
    <n v="41.4"/>
    <n v="2.4300000000000002"/>
    <n v="56.79"/>
    <n v="0.23080000000000001"/>
    <s v="Yes"/>
    <s v="Sunny"/>
    <s v="Promotion active"/>
  </r>
  <r>
    <d v="2026-06-17T00:00:00"/>
    <x v="3"/>
    <s v="Wednesday"/>
    <s v="Riverside"/>
    <x v="12"/>
    <x v="4"/>
    <n v="25"/>
    <n v="22"/>
    <n v="3"/>
    <n v="4.8"/>
    <x v="142"/>
    <n v="14.4"/>
    <n v="1.62"/>
    <n v="65.19"/>
    <n v="0.12"/>
    <s v="Yes"/>
    <s v="Sunny"/>
    <s v="Promotion a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150C8-075D-4EC9-9B86-08DE61AAB57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">
  <location ref="E19:F33" firstHeaderRow="1" firstDataRow="1" firstDataCol="1"/>
  <pivotFields count="18">
    <pivotField numFmtId="14" showAll="0"/>
    <pivotField showAll="0"/>
    <pivotField showAll="0"/>
    <pivotField showAll="0"/>
    <pivotField axis="axisRow" showAll="0" sortType="descending">
      <items count="14">
        <item x="4"/>
        <item x="6"/>
        <item x="7"/>
        <item x="2"/>
        <item x="9"/>
        <item x="0"/>
        <item x="11"/>
        <item x="1"/>
        <item x="5"/>
        <item x="3"/>
        <item x="10"/>
        <item x="1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4">
    <i>
      <x v="4"/>
    </i>
    <i>
      <x v="5"/>
    </i>
    <i>
      <x v="10"/>
    </i>
    <i>
      <x v="7"/>
    </i>
    <i>
      <x/>
    </i>
    <i>
      <x v="1"/>
    </i>
    <i>
      <x v="3"/>
    </i>
    <i>
      <x v="6"/>
    </i>
    <i>
      <x v="2"/>
    </i>
    <i>
      <x v="9"/>
    </i>
    <i>
      <x v="12"/>
    </i>
    <i>
      <x v="11"/>
    </i>
    <i>
      <x v="8"/>
    </i>
    <i t="grand">
      <x/>
    </i>
  </rowItems>
  <colItems count="1">
    <i/>
  </colItems>
  <dataFields count="1">
    <dataField name="Sum of Units Sold" fld="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FDF1EA-EDEB-4B98-8FED-E42931EEBE0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">
  <location ref="A2:B16" firstHeaderRow="1" firstDataRow="1" firstDataCol="1"/>
  <pivotFields count="18">
    <pivotField numFmtId="14" showAll="0"/>
    <pivotField showAll="0"/>
    <pivotField showAll="0"/>
    <pivotField showAll="0"/>
    <pivotField axis="axisRow" showAll="0" sortType="descending">
      <items count="14">
        <item x="4"/>
        <item x="6"/>
        <item x="7"/>
        <item x="2"/>
        <item x="9"/>
        <item x="0"/>
        <item x="11"/>
        <item x="1"/>
        <item x="5"/>
        <item x="3"/>
        <item x="10"/>
        <item x="1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4">
    <i>
      <x v="4"/>
    </i>
    <i>
      <x v="6"/>
    </i>
    <i>
      <x v="5"/>
    </i>
    <i>
      <x v="7"/>
    </i>
    <i>
      <x v="9"/>
    </i>
    <i>
      <x v="11"/>
    </i>
    <i>
      <x v="1"/>
    </i>
    <i>
      <x v="3"/>
    </i>
    <i>
      <x v="10"/>
    </i>
    <i>
      <x v="2"/>
    </i>
    <i>
      <x/>
    </i>
    <i>
      <x v="12"/>
    </i>
    <i>
      <x v="8"/>
    </i>
    <i t="grand">
      <x/>
    </i>
  </rowItems>
  <colItems count="1">
    <i/>
  </colItems>
  <dataFields count="1">
    <dataField name="Sum of Revenue" fld="10" baseField="0" baseItem="0" numFmtId="164"/>
  </dataFields>
  <formats count="1">
    <format dxfId="6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E70D9-5E26-4810-A234-13BA4616F06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I2:J16" firstHeaderRow="1" firstDataRow="1" firstDataCol="1"/>
  <pivotFields count="18">
    <pivotField numFmtId="14" showAll="0"/>
    <pivotField showAll="0"/>
    <pivotField showAll="0"/>
    <pivotField showAll="0"/>
    <pivotField axis="axisRow" showAll="0" sortType="descending">
      <items count="14">
        <item x="4"/>
        <item x="6"/>
        <item x="7"/>
        <item x="2"/>
        <item x="9"/>
        <item x="0"/>
        <item x="11"/>
        <item x="1"/>
        <item x="5"/>
        <item x="3"/>
        <item x="10"/>
        <item x="1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4">
    <i>
      <x v="7"/>
    </i>
    <i>
      <x v="6"/>
    </i>
    <i>
      <x v="5"/>
    </i>
    <i>
      <x v="3"/>
    </i>
    <i>
      <x v="11"/>
    </i>
    <i>
      <x v="1"/>
    </i>
    <i>
      <x v="9"/>
    </i>
    <i>
      <x v="4"/>
    </i>
    <i>
      <x v="2"/>
    </i>
    <i>
      <x/>
    </i>
    <i>
      <x v="8"/>
    </i>
    <i>
      <x v="12"/>
    </i>
    <i>
      <x v="10"/>
    </i>
    <i t="grand">
      <x/>
    </i>
  </rowItems>
  <colItems count="1">
    <i/>
  </colItems>
  <dataFields count="1">
    <dataField name="Sum of Waste Value" fld="11" baseField="0" baseItem="0" numFmtId="164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674F0-09F8-462F-BFC2-197970AEEC7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Week">
  <location ref="E11:F16" firstHeaderRow="1" firstDataRow="1" firstDataCol="1"/>
  <pivotFields count="18">
    <pivotField numFmtId="1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0" baseField="0" baseItem="0" numFmtId="164"/>
  </dataFields>
  <formats count="1">
    <format dxfId="8">
      <pivotArea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F9D43-AE30-486B-A192-58A42F63384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E2:F8" firstHeaderRow="1" firstDataRow="1" firstDataCol="1"/>
  <pivotFields count="18">
    <pivotField numFmtId="14" showAll="0"/>
    <pivotField showAll="0"/>
    <pivotField showAll="0"/>
    <pivotField showAll="0"/>
    <pivotField showAll="0"/>
    <pivotField axis="axisRow" showAll="0" sortType="descending">
      <items count="6">
        <item x="1"/>
        <item x="2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 v="3"/>
    </i>
    <i>
      <x v="2"/>
    </i>
    <i>
      <x/>
    </i>
    <i>
      <x v="1"/>
    </i>
    <i>
      <x v="4"/>
    </i>
    <i t="grand">
      <x/>
    </i>
  </rowItems>
  <colItems count="1">
    <i/>
  </colItems>
  <dataFields count="1">
    <dataField name="Sum of Revenue" fld="10" baseField="0" baseItem="0" numFmtId="164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CCB38-C7D1-40BC-A658-C2551D36C6B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roduct">
  <location ref="A19:B33" firstHeaderRow="1" firstDataRow="1" firstDataCol="1"/>
  <pivotFields count="18">
    <pivotField numFmtId="14" showAll="0"/>
    <pivotField showAll="0"/>
    <pivotField showAll="0"/>
    <pivotField showAll="0"/>
    <pivotField axis="axisRow" showAll="0" sortType="descending">
      <items count="14">
        <item x="4"/>
        <item x="6"/>
        <item x="7"/>
        <item x="2"/>
        <item x="9"/>
        <item x="0"/>
        <item x="11"/>
        <item x="1"/>
        <item x="5"/>
        <item x="3"/>
        <item x="10"/>
        <item x="1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4">
    <i>
      <x v="5"/>
    </i>
    <i>
      <x v="7"/>
    </i>
    <i>
      <x v="4"/>
    </i>
    <i>
      <x v="3"/>
    </i>
    <i>
      <x v="1"/>
    </i>
    <i>
      <x/>
    </i>
    <i>
      <x v="2"/>
    </i>
    <i>
      <x v="6"/>
    </i>
    <i>
      <x v="9"/>
    </i>
    <i>
      <x v="11"/>
    </i>
    <i>
      <x v="8"/>
    </i>
    <i>
      <x v="12"/>
    </i>
    <i>
      <x v="10"/>
    </i>
    <i t="grand">
      <x/>
    </i>
  </rowItems>
  <colItems count="1">
    <i/>
  </colItems>
  <dataFields count="1">
    <dataField name="Sum of Waste Units" fld="8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03F6A-EF54-42A9-9207-2F3AB07316F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A1:F15" firstHeaderRow="0" firstDataRow="1" firstDataCol="1"/>
  <pivotFields count="18">
    <pivotField numFmtId="14" showAll="0"/>
    <pivotField showAll="0"/>
    <pivotField showAll="0"/>
    <pivotField showAll="0"/>
    <pivotField axis="axisRow" showAll="0">
      <items count="14">
        <item x="4"/>
        <item x="6"/>
        <item x="7"/>
        <item x="2"/>
        <item x="9"/>
        <item x="0"/>
        <item x="11"/>
        <item x="1"/>
        <item x="5"/>
        <item x="3"/>
        <item x="10"/>
        <item x="12"/>
        <item x="8"/>
        <item t="default"/>
      </items>
    </pivotField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Revenue" fld="10" baseField="0" baseItem="0" numFmtId="164"/>
    <dataField name="Total Units Produced" fld="6" baseField="0" baseItem="0"/>
    <dataField name="Total Units Sold" fld="7" baseField="0" baseItem="0"/>
    <dataField name="Total Waste Units" fld="8" baseField="0" baseItem="0"/>
    <dataField name="Total Waste Value" fld="11" baseField="0" baseItem="0" numFmtId="164"/>
  </dataFields>
  <formats count="2">
    <format dxfId="2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767F1C-687E-45BC-A615-573B33629B6E}" name="BakeryLog" displayName="BakeryLog" ref="A1:R469" totalsRowShown="0">
  <autoFilter ref="A1:R469" xr:uid="{FC767F1C-687E-45BC-A615-573B33629B6E}"/>
  <tableColumns count="18">
    <tableColumn id="1" xr3:uid="{2E982387-4A96-4B86-B475-22F50A4DEB6C}" name="Column1" dataDxfId="10"/>
    <tableColumn id="2" xr3:uid="{C01961D5-0FD4-4556-83DC-BEEAA2FD54C3}" name="Week"/>
    <tableColumn id="3" xr3:uid="{03466E00-DDE1-4ADC-A9F5-29273FBC464E}" name="Day"/>
    <tableColumn id="4" xr3:uid="{4E1E68B3-0810-40FF-A3B1-748B7F9FFB9B}" name="Branch"/>
    <tableColumn id="5" xr3:uid="{53ECB8CD-A2E9-42CA-A779-14BC944707B2}" name="Product"/>
    <tableColumn id="6" xr3:uid="{9EB307D2-0E96-426A-A6F4-3E41C462494A}" name="Category"/>
    <tableColumn id="7" xr3:uid="{E87C2D9B-9005-4CCA-B2EC-62FAD87255A2}" name="Units Produced"/>
    <tableColumn id="8" xr3:uid="{4350C371-447A-408D-A59D-42FBB6CCEEF5}" name="Units Sold"/>
    <tableColumn id="9" xr3:uid="{E3988258-5AD1-428E-AE1C-06F8D131A2F5}" name="Waste Units"/>
    <tableColumn id="10" xr3:uid="{59CE921E-DFCA-4900-9BBE-94BF77238B4F}" name="Unit Price"/>
    <tableColumn id="11" xr3:uid="{181C7D8C-5CA2-4CA4-9B5E-4F9CE2DFAA3F}" name="Revenue"/>
    <tableColumn id="12" xr3:uid="{861A54F6-071B-437D-BF12-089A2FB78AB4}" name="Waste Value"/>
    <tableColumn id="13" xr3:uid="{EDE3CD24-9F03-4A5A-BB4E-291309D4F3D1}" name="Staff Hours Allocated"/>
    <tableColumn id="14" xr3:uid="{9C394D17-8E82-4BAE-B607-9FA665BC1561}" name="Revenue per Staff Hour"/>
    <tableColumn id="15" xr3:uid="{EFC2863D-C424-490C-B4A0-7B58BCDF3E25}" name="Wastage Rate"/>
    <tableColumn id="16" xr3:uid="{43E104D5-906C-4023-9DF9-0B736BE0ED60}" name="Promo Flag"/>
    <tableColumn id="17" xr3:uid="{90089B5F-1D56-4714-8461-2BD6F71B3C79}" name="Weather"/>
    <tableColumn id="18" xr3:uid="{DEEE0158-5D83-4253-972C-DC3B0007C27E}" name="Operational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CABA1-82C6-42AF-8645-60863895D1FD}" name="Table1" displayName="Table1" ref="A1:E15" totalsRowShown="0" headerRowDxfId="5">
  <autoFilter ref="A1:E15" xr:uid="{6A7CABA1-82C6-42AF-8645-60863895D1FD}"/>
  <sortState xmlns:xlrd2="http://schemas.microsoft.com/office/spreadsheetml/2017/richdata2" ref="A2:E15">
    <sortCondition descending="1" ref="C2:C15"/>
  </sortState>
  <tableColumns count="5">
    <tableColumn id="1" xr3:uid="{9B6E8BA5-D2BC-4C38-8DED-CC5DA0FA5199}" name="Products" dataDxfId="4"/>
    <tableColumn id="2" xr3:uid="{E4421316-BBE4-4E9F-A96A-91AC0E633491}" name="Units Produced"/>
    <tableColumn id="3" xr3:uid="{4A79C376-8012-4DC7-B400-0487EBA3C5E4}" name="Waste Value" dataDxfId="3"/>
    <tableColumn id="4" xr3:uid="{50B828E2-45AC-45DD-9944-A68645824E8D}" name="Waste Units"/>
    <tableColumn id="5" xr3:uid="{6CBFD1B6-AF2D-4E4C-8C86-499BA84C95C3}" name="Wastage Rate">
      <calculatedColumnFormula>SUM(D2/B2)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7ECEA6-64D3-4015-91CE-97054CFEC495}" name="Table3" displayName="Table3" ref="A1:D6" totalsRowShown="0" headerRowDxfId="13">
  <autoFilter ref="A1:D6" xr:uid="{D67ECEA6-64D3-4015-91CE-97054CFEC495}"/>
  <tableColumns count="4">
    <tableColumn id="1" xr3:uid="{B4EA0CE6-EA5C-4000-9203-B0B642C67D12}" name="Weeks"/>
    <tableColumn id="2" xr3:uid="{958D6CEB-80D8-4EE5-B9FA-FE97630741CB}" name="Revenue" dataDxfId="12"/>
    <tableColumn id="3" xr3:uid="{6AE668D0-6361-44A1-91C2-3CD05928116F}" name="Staff Hours Allocated"/>
    <tableColumn id="4" xr3:uid="{208312BB-C189-4E5B-BC47-91A5A4161667}" name="Revenue per Staff Hour" dataDxfId="11">
      <calculatedColumnFormula>SUM(B2/C2)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E48C-1DC4-4426-9FF5-BD88BBC7113B}">
  <dimension ref="A1:R469"/>
  <sheetViews>
    <sheetView topLeftCell="A217" workbookViewId="0">
      <selection activeCell="I88" sqref="I88"/>
    </sheetView>
  </sheetViews>
  <sheetFormatPr defaultRowHeight="15" x14ac:dyDescent="0.25"/>
  <cols>
    <col min="1" max="1" width="11.5703125" customWidth="1"/>
    <col min="2" max="2" width="8.28515625" customWidth="1"/>
    <col min="4" max="4" width="12" customWidth="1"/>
    <col min="5" max="5" width="10.28515625" customWidth="1"/>
    <col min="6" max="6" width="11.28515625" customWidth="1"/>
    <col min="7" max="7" width="16.85546875" customWidth="1"/>
    <col min="8" max="8" width="12.28515625" customWidth="1"/>
    <col min="9" max="9" width="14" customWidth="1"/>
    <col min="10" max="10" width="11.85546875" customWidth="1"/>
    <col min="11" max="11" width="11.140625" customWidth="1"/>
    <col min="12" max="12" width="14.28515625" customWidth="1"/>
    <col min="13" max="13" width="22.140625" customWidth="1"/>
    <col min="14" max="14" width="24.140625" customWidth="1"/>
    <col min="15" max="15" width="15.42578125" customWidth="1"/>
    <col min="16" max="16" width="13" customWidth="1"/>
    <col min="17" max="17" width="10.85546875" customWidth="1"/>
    <col min="18" max="18" width="18.5703125" customWidth="1"/>
  </cols>
  <sheetData>
    <row r="1" spans="1:18" x14ac:dyDescent="0.25">
      <c r="A1" t="s">
        <v>55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v>46167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58</v>
      </c>
      <c r="H2">
        <v>48</v>
      </c>
      <c r="I2">
        <v>10</v>
      </c>
      <c r="J2">
        <v>2.5</v>
      </c>
      <c r="K2">
        <v>120</v>
      </c>
      <c r="L2">
        <v>25</v>
      </c>
      <c r="M2">
        <v>2.88</v>
      </c>
      <c r="N2">
        <v>41.67</v>
      </c>
      <c r="O2">
        <v>0.1724</v>
      </c>
      <c r="P2" t="s">
        <v>22</v>
      </c>
      <c r="Q2" t="s">
        <v>23</v>
      </c>
      <c r="R2" t="s">
        <v>24</v>
      </c>
    </row>
    <row r="3" spans="1:18" x14ac:dyDescent="0.25">
      <c r="A3" s="1">
        <v>46167</v>
      </c>
      <c r="B3" t="s">
        <v>17</v>
      </c>
      <c r="C3" t="s">
        <v>18</v>
      </c>
      <c r="D3" t="s">
        <v>19</v>
      </c>
      <c r="E3" t="s">
        <v>25</v>
      </c>
      <c r="F3" t="s">
        <v>21</v>
      </c>
      <c r="G3">
        <v>50</v>
      </c>
      <c r="H3">
        <v>36</v>
      </c>
      <c r="I3">
        <v>14</v>
      </c>
      <c r="J3">
        <v>2.8</v>
      </c>
      <c r="K3">
        <v>100.8</v>
      </c>
      <c r="L3">
        <v>39.200000000000003</v>
      </c>
      <c r="M3">
        <v>2.4300000000000002</v>
      </c>
      <c r="N3">
        <v>41.48</v>
      </c>
      <c r="O3">
        <v>0.28000000000000003</v>
      </c>
      <c r="P3" t="s">
        <v>22</v>
      </c>
      <c r="Q3" t="s">
        <v>23</v>
      </c>
      <c r="R3" t="s">
        <v>24</v>
      </c>
    </row>
    <row r="4" spans="1:18" x14ac:dyDescent="0.25">
      <c r="A4" s="1">
        <v>46167</v>
      </c>
      <c r="B4" t="s">
        <v>17</v>
      </c>
      <c r="C4" t="s">
        <v>18</v>
      </c>
      <c r="D4" t="s">
        <v>19</v>
      </c>
      <c r="E4" t="s">
        <v>26</v>
      </c>
      <c r="F4" t="s">
        <v>21</v>
      </c>
      <c r="G4">
        <v>36</v>
      </c>
      <c r="H4">
        <v>32</v>
      </c>
      <c r="I4">
        <v>4</v>
      </c>
      <c r="J4">
        <v>3.1</v>
      </c>
      <c r="K4">
        <v>99.2</v>
      </c>
      <c r="L4">
        <v>12.4</v>
      </c>
      <c r="M4">
        <v>1.68</v>
      </c>
      <c r="N4">
        <v>59.05</v>
      </c>
      <c r="O4">
        <v>0.1111</v>
      </c>
      <c r="P4" t="s">
        <v>22</v>
      </c>
      <c r="Q4" t="s">
        <v>23</v>
      </c>
    </row>
    <row r="5" spans="1:18" x14ac:dyDescent="0.25">
      <c r="A5" s="1">
        <v>46167</v>
      </c>
      <c r="B5" t="s">
        <v>17</v>
      </c>
      <c r="C5" t="s">
        <v>18</v>
      </c>
      <c r="D5" t="s">
        <v>19</v>
      </c>
      <c r="E5" t="s">
        <v>27</v>
      </c>
      <c r="F5" t="s">
        <v>28</v>
      </c>
      <c r="G5">
        <v>32</v>
      </c>
      <c r="H5">
        <v>26</v>
      </c>
      <c r="I5">
        <v>6</v>
      </c>
      <c r="J5">
        <v>4.2</v>
      </c>
      <c r="K5">
        <v>109.2</v>
      </c>
      <c r="L5">
        <v>25.2</v>
      </c>
      <c r="M5">
        <v>2.36</v>
      </c>
      <c r="N5">
        <v>46.27</v>
      </c>
      <c r="O5">
        <v>0.1875</v>
      </c>
      <c r="P5" t="s">
        <v>22</v>
      </c>
      <c r="Q5" t="s">
        <v>23</v>
      </c>
    </row>
    <row r="6" spans="1:18" x14ac:dyDescent="0.25">
      <c r="A6" s="1">
        <v>46167</v>
      </c>
      <c r="B6" t="s">
        <v>17</v>
      </c>
      <c r="C6" t="s">
        <v>18</v>
      </c>
      <c r="D6" t="s">
        <v>19</v>
      </c>
      <c r="E6" t="s">
        <v>29</v>
      </c>
      <c r="F6" t="s">
        <v>28</v>
      </c>
      <c r="G6">
        <v>44</v>
      </c>
      <c r="H6">
        <v>32</v>
      </c>
      <c r="I6">
        <v>12</v>
      </c>
      <c r="J6">
        <v>2.2999999999999998</v>
      </c>
      <c r="K6">
        <v>73.599999999999994</v>
      </c>
      <c r="L6">
        <v>27.6</v>
      </c>
      <c r="M6">
        <v>3.37</v>
      </c>
      <c r="N6">
        <v>21.84</v>
      </c>
      <c r="O6">
        <v>0.2727</v>
      </c>
      <c r="P6" t="s">
        <v>22</v>
      </c>
      <c r="Q6" t="s">
        <v>23</v>
      </c>
      <c r="R6" t="s">
        <v>24</v>
      </c>
    </row>
    <row r="7" spans="1:18" x14ac:dyDescent="0.25">
      <c r="A7" s="1">
        <v>46167</v>
      </c>
      <c r="B7" t="s">
        <v>17</v>
      </c>
      <c r="C7" t="s">
        <v>18</v>
      </c>
      <c r="D7" t="s">
        <v>19</v>
      </c>
      <c r="E7" t="s">
        <v>30</v>
      </c>
      <c r="F7" t="s">
        <v>28</v>
      </c>
      <c r="G7">
        <v>21</v>
      </c>
      <c r="H7">
        <v>17</v>
      </c>
      <c r="I7">
        <v>4</v>
      </c>
      <c r="J7">
        <v>3.8</v>
      </c>
      <c r="K7">
        <v>64.599999999999994</v>
      </c>
      <c r="L7">
        <v>15.2</v>
      </c>
      <c r="M7">
        <v>1.81</v>
      </c>
      <c r="N7">
        <v>35.69</v>
      </c>
      <c r="O7">
        <v>0.1905</v>
      </c>
      <c r="P7" t="s">
        <v>22</v>
      </c>
      <c r="Q7" t="s">
        <v>23</v>
      </c>
    </row>
    <row r="8" spans="1:18" x14ac:dyDescent="0.25">
      <c r="A8" s="1">
        <v>46167</v>
      </c>
      <c r="B8" t="s">
        <v>17</v>
      </c>
      <c r="C8" t="s">
        <v>18</v>
      </c>
      <c r="D8" t="s">
        <v>19</v>
      </c>
      <c r="E8" t="s">
        <v>31</v>
      </c>
      <c r="F8" t="s">
        <v>32</v>
      </c>
      <c r="G8">
        <v>37</v>
      </c>
      <c r="H8">
        <v>31</v>
      </c>
      <c r="I8">
        <v>6</v>
      </c>
      <c r="J8">
        <v>2.9</v>
      </c>
      <c r="K8">
        <v>89.9</v>
      </c>
      <c r="L8">
        <v>17.399999999999999</v>
      </c>
      <c r="M8">
        <v>2.15</v>
      </c>
      <c r="N8">
        <v>41.81</v>
      </c>
      <c r="O8">
        <v>0.16220000000000001</v>
      </c>
      <c r="P8" t="s">
        <v>22</v>
      </c>
      <c r="Q8" t="s">
        <v>23</v>
      </c>
    </row>
    <row r="9" spans="1:18" x14ac:dyDescent="0.25">
      <c r="A9" s="1">
        <v>46167</v>
      </c>
      <c r="B9" t="s">
        <v>17</v>
      </c>
      <c r="C9" t="s">
        <v>18</v>
      </c>
      <c r="D9" t="s">
        <v>19</v>
      </c>
      <c r="E9" t="s">
        <v>33</v>
      </c>
      <c r="F9" t="s">
        <v>32</v>
      </c>
      <c r="G9">
        <v>35</v>
      </c>
      <c r="H9">
        <v>29</v>
      </c>
      <c r="I9">
        <v>6</v>
      </c>
      <c r="J9">
        <v>3</v>
      </c>
      <c r="K9">
        <v>87</v>
      </c>
      <c r="L9">
        <v>18</v>
      </c>
      <c r="M9">
        <v>1.96</v>
      </c>
      <c r="N9">
        <v>44.39</v>
      </c>
      <c r="O9">
        <v>0.1714</v>
      </c>
      <c r="P9" t="s">
        <v>22</v>
      </c>
      <c r="Q9" t="s">
        <v>23</v>
      </c>
    </row>
    <row r="10" spans="1:18" x14ac:dyDescent="0.25">
      <c r="A10" s="1">
        <v>46167</v>
      </c>
      <c r="B10" t="s">
        <v>17</v>
      </c>
      <c r="C10" t="s">
        <v>18</v>
      </c>
      <c r="D10" t="s">
        <v>19</v>
      </c>
      <c r="E10" t="s">
        <v>34</v>
      </c>
      <c r="F10" t="s">
        <v>32</v>
      </c>
      <c r="G10">
        <v>29</v>
      </c>
      <c r="H10">
        <v>25</v>
      </c>
      <c r="I10">
        <v>4</v>
      </c>
      <c r="J10">
        <v>3.5</v>
      </c>
      <c r="K10">
        <v>87.5</v>
      </c>
      <c r="L10">
        <v>14</v>
      </c>
      <c r="M10">
        <v>1.75</v>
      </c>
      <c r="N10">
        <v>50</v>
      </c>
      <c r="O10">
        <v>0.13789999999999999</v>
      </c>
      <c r="P10" t="s">
        <v>35</v>
      </c>
      <c r="Q10" t="s">
        <v>23</v>
      </c>
      <c r="R10" t="s">
        <v>36</v>
      </c>
    </row>
    <row r="11" spans="1:18" x14ac:dyDescent="0.25">
      <c r="A11" s="1">
        <v>46167</v>
      </c>
      <c r="B11" t="s">
        <v>17</v>
      </c>
      <c r="C11" t="s">
        <v>18</v>
      </c>
      <c r="D11" t="s">
        <v>19</v>
      </c>
      <c r="E11" t="s">
        <v>37</v>
      </c>
      <c r="F11" t="s">
        <v>38</v>
      </c>
      <c r="G11">
        <v>100</v>
      </c>
      <c r="H11">
        <v>90</v>
      </c>
      <c r="I11">
        <v>10</v>
      </c>
      <c r="J11">
        <v>2.4</v>
      </c>
      <c r="K11">
        <v>216</v>
      </c>
      <c r="L11">
        <v>24</v>
      </c>
      <c r="M11">
        <v>2.06</v>
      </c>
      <c r="N11">
        <v>104.85</v>
      </c>
      <c r="O11">
        <v>0.1</v>
      </c>
      <c r="P11" t="s">
        <v>22</v>
      </c>
      <c r="Q11" t="s">
        <v>23</v>
      </c>
    </row>
    <row r="12" spans="1:18" x14ac:dyDescent="0.25">
      <c r="A12" s="1">
        <v>46167</v>
      </c>
      <c r="B12" t="s">
        <v>17</v>
      </c>
      <c r="C12" t="s">
        <v>18</v>
      </c>
      <c r="D12" t="s">
        <v>19</v>
      </c>
      <c r="E12" t="s">
        <v>39</v>
      </c>
      <c r="F12" t="s">
        <v>38</v>
      </c>
      <c r="G12">
        <v>48</v>
      </c>
      <c r="H12">
        <v>44</v>
      </c>
      <c r="I12">
        <v>4</v>
      </c>
      <c r="J12">
        <v>1.8</v>
      </c>
      <c r="K12">
        <v>79.2</v>
      </c>
      <c r="L12">
        <v>7.2</v>
      </c>
      <c r="M12">
        <v>0.94</v>
      </c>
      <c r="N12">
        <v>84.26</v>
      </c>
      <c r="O12">
        <v>8.3299999999999999E-2</v>
      </c>
      <c r="P12" t="s">
        <v>22</v>
      </c>
      <c r="Q12" t="s">
        <v>23</v>
      </c>
    </row>
    <row r="13" spans="1:18" x14ac:dyDescent="0.25">
      <c r="A13" s="1">
        <v>46167</v>
      </c>
      <c r="B13" t="s">
        <v>17</v>
      </c>
      <c r="C13" t="s">
        <v>18</v>
      </c>
      <c r="D13" t="s">
        <v>19</v>
      </c>
      <c r="E13" t="s">
        <v>40</v>
      </c>
      <c r="F13" t="s">
        <v>41</v>
      </c>
      <c r="G13">
        <v>33</v>
      </c>
      <c r="H13">
        <v>28</v>
      </c>
      <c r="I13">
        <v>5</v>
      </c>
      <c r="J13">
        <v>4.5999999999999996</v>
      </c>
      <c r="K13">
        <v>128.80000000000001</v>
      </c>
      <c r="L13">
        <v>23</v>
      </c>
      <c r="M13">
        <v>2.2200000000000002</v>
      </c>
      <c r="N13">
        <v>58.02</v>
      </c>
      <c r="O13">
        <v>0.1515</v>
      </c>
      <c r="P13" t="s">
        <v>22</v>
      </c>
      <c r="Q13" t="s">
        <v>23</v>
      </c>
    </row>
    <row r="14" spans="1:18" x14ac:dyDescent="0.25">
      <c r="A14" s="1">
        <v>46167</v>
      </c>
      <c r="B14" t="s">
        <v>17</v>
      </c>
      <c r="C14" t="s">
        <v>18</v>
      </c>
      <c r="D14" t="s">
        <v>19</v>
      </c>
      <c r="E14" t="s">
        <v>42</v>
      </c>
      <c r="F14" t="s">
        <v>41</v>
      </c>
      <c r="G14">
        <v>24</v>
      </c>
      <c r="H14">
        <v>19</v>
      </c>
      <c r="I14">
        <v>5</v>
      </c>
      <c r="J14">
        <v>4.8</v>
      </c>
      <c r="K14">
        <v>91.2</v>
      </c>
      <c r="L14">
        <v>24</v>
      </c>
      <c r="M14">
        <v>1.57</v>
      </c>
      <c r="N14">
        <v>58.09</v>
      </c>
      <c r="O14">
        <v>0.20830000000000001</v>
      </c>
      <c r="P14" t="s">
        <v>22</v>
      </c>
      <c r="Q14" t="s">
        <v>23</v>
      </c>
    </row>
    <row r="15" spans="1:18" x14ac:dyDescent="0.25">
      <c r="A15" s="1">
        <v>46167</v>
      </c>
      <c r="B15" t="s">
        <v>17</v>
      </c>
      <c r="C15" t="s">
        <v>18</v>
      </c>
      <c r="D15" t="s">
        <v>43</v>
      </c>
      <c r="E15" t="s">
        <v>20</v>
      </c>
      <c r="F15" t="s">
        <v>21</v>
      </c>
      <c r="G15">
        <v>55</v>
      </c>
      <c r="H15">
        <v>46</v>
      </c>
      <c r="I15">
        <v>9</v>
      </c>
      <c r="J15">
        <v>2.5</v>
      </c>
      <c r="K15">
        <v>115</v>
      </c>
      <c r="L15">
        <v>22.5</v>
      </c>
      <c r="M15">
        <v>2.58</v>
      </c>
      <c r="N15">
        <v>44.57</v>
      </c>
      <c r="O15">
        <v>0.1636</v>
      </c>
      <c r="P15" t="s">
        <v>35</v>
      </c>
      <c r="Q15" t="s">
        <v>23</v>
      </c>
      <c r="R15" t="s">
        <v>36</v>
      </c>
    </row>
    <row r="16" spans="1:18" x14ac:dyDescent="0.25">
      <c r="A16" s="1">
        <v>46167</v>
      </c>
      <c r="B16" t="s">
        <v>17</v>
      </c>
      <c r="C16" t="s">
        <v>18</v>
      </c>
      <c r="D16" t="s">
        <v>43</v>
      </c>
      <c r="E16" t="s">
        <v>25</v>
      </c>
      <c r="F16" t="s">
        <v>21</v>
      </c>
      <c r="G16">
        <v>34</v>
      </c>
      <c r="H16">
        <v>30</v>
      </c>
      <c r="I16">
        <v>4</v>
      </c>
      <c r="J16">
        <v>2.8</v>
      </c>
      <c r="K16">
        <v>84</v>
      </c>
      <c r="L16">
        <v>11.2</v>
      </c>
      <c r="M16">
        <v>1.88</v>
      </c>
      <c r="N16">
        <v>44.68</v>
      </c>
      <c r="O16">
        <v>0.1176</v>
      </c>
      <c r="P16" t="s">
        <v>22</v>
      </c>
      <c r="Q16" t="s">
        <v>23</v>
      </c>
    </row>
    <row r="17" spans="1:18" x14ac:dyDescent="0.25">
      <c r="A17" s="1">
        <v>46167</v>
      </c>
      <c r="B17" t="s">
        <v>17</v>
      </c>
      <c r="C17" t="s">
        <v>18</v>
      </c>
      <c r="D17" t="s">
        <v>43</v>
      </c>
      <c r="E17" t="s">
        <v>26</v>
      </c>
      <c r="F17" t="s">
        <v>21</v>
      </c>
      <c r="G17">
        <v>30</v>
      </c>
      <c r="H17">
        <v>26</v>
      </c>
      <c r="I17">
        <v>4</v>
      </c>
      <c r="J17">
        <v>3.1</v>
      </c>
      <c r="K17">
        <v>80.599999999999994</v>
      </c>
      <c r="L17">
        <v>12.4</v>
      </c>
      <c r="M17">
        <v>1.65</v>
      </c>
      <c r="N17">
        <v>48.85</v>
      </c>
      <c r="O17">
        <v>0.1333</v>
      </c>
      <c r="P17" t="s">
        <v>22</v>
      </c>
      <c r="Q17" t="s">
        <v>23</v>
      </c>
    </row>
    <row r="18" spans="1:18" x14ac:dyDescent="0.25">
      <c r="A18" s="1">
        <v>46167</v>
      </c>
      <c r="B18" t="s">
        <v>17</v>
      </c>
      <c r="C18" t="s">
        <v>18</v>
      </c>
      <c r="D18" t="s">
        <v>43</v>
      </c>
      <c r="E18" t="s">
        <v>27</v>
      </c>
      <c r="F18" t="s">
        <v>28</v>
      </c>
      <c r="G18">
        <v>23</v>
      </c>
      <c r="H18">
        <v>18</v>
      </c>
      <c r="I18">
        <v>5</v>
      </c>
      <c r="J18">
        <v>4.2</v>
      </c>
      <c r="K18">
        <v>75.599999999999994</v>
      </c>
      <c r="L18">
        <v>21</v>
      </c>
      <c r="M18">
        <v>1.75</v>
      </c>
      <c r="N18">
        <v>43.2</v>
      </c>
      <c r="O18">
        <v>0.21740000000000001</v>
      </c>
      <c r="P18" t="s">
        <v>22</v>
      </c>
      <c r="Q18" t="s">
        <v>23</v>
      </c>
    </row>
    <row r="19" spans="1:18" x14ac:dyDescent="0.25">
      <c r="A19" s="1">
        <v>46167</v>
      </c>
      <c r="B19" t="s">
        <v>17</v>
      </c>
      <c r="C19" t="s">
        <v>18</v>
      </c>
      <c r="D19" t="s">
        <v>43</v>
      </c>
      <c r="E19" t="s">
        <v>29</v>
      </c>
      <c r="F19" t="s">
        <v>28</v>
      </c>
      <c r="G19">
        <v>31</v>
      </c>
      <c r="H19">
        <v>31</v>
      </c>
      <c r="I19">
        <v>0</v>
      </c>
      <c r="J19">
        <v>2.2999999999999998</v>
      </c>
      <c r="K19">
        <v>71.3</v>
      </c>
      <c r="L19">
        <v>0</v>
      </c>
      <c r="M19">
        <v>2.48</v>
      </c>
      <c r="N19">
        <v>28.75</v>
      </c>
      <c r="O19">
        <v>0</v>
      </c>
      <c r="P19" t="s">
        <v>22</v>
      </c>
      <c r="Q19" t="s">
        <v>23</v>
      </c>
    </row>
    <row r="20" spans="1:18" x14ac:dyDescent="0.25">
      <c r="A20" s="1">
        <v>46167</v>
      </c>
      <c r="B20" t="s">
        <v>17</v>
      </c>
      <c r="C20" t="s">
        <v>18</v>
      </c>
      <c r="D20" t="s">
        <v>43</v>
      </c>
      <c r="E20" t="s">
        <v>30</v>
      </c>
      <c r="F20" t="s">
        <v>28</v>
      </c>
      <c r="G20">
        <v>18</v>
      </c>
      <c r="H20">
        <v>14</v>
      </c>
      <c r="I20">
        <v>4</v>
      </c>
      <c r="J20">
        <v>3.8</v>
      </c>
      <c r="K20">
        <v>53.2</v>
      </c>
      <c r="L20">
        <v>15.2</v>
      </c>
      <c r="M20">
        <v>1.58</v>
      </c>
      <c r="N20">
        <v>33.67</v>
      </c>
      <c r="O20">
        <v>0.22220000000000001</v>
      </c>
      <c r="P20" t="s">
        <v>22</v>
      </c>
      <c r="Q20" t="s">
        <v>23</v>
      </c>
    </row>
    <row r="21" spans="1:18" x14ac:dyDescent="0.25">
      <c r="A21" s="1">
        <v>46167</v>
      </c>
      <c r="B21" t="s">
        <v>17</v>
      </c>
      <c r="C21" t="s">
        <v>18</v>
      </c>
      <c r="D21" t="s">
        <v>43</v>
      </c>
      <c r="E21" t="s">
        <v>31</v>
      </c>
      <c r="F21" t="s">
        <v>32</v>
      </c>
      <c r="G21">
        <v>30</v>
      </c>
      <c r="H21">
        <v>25</v>
      </c>
      <c r="I21">
        <v>5</v>
      </c>
      <c r="J21">
        <v>2.9</v>
      </c>
      <c r="K21">
        <v>72.5</v>
      </c>
      <c r="L21">
        <v>14.5</v>
      </c>
      <c r="M21">
        <v>1.72</v>
      </c>
      <c r="N21">
        <v>42.15</v>
      </c>
      <c r="O21">
        <v>0.16669999999999999</v>
      </c>
      <c r="P21" t="s">
        <v>22</v>
      </c>
      <c r="Q21" t="s">
        <v>23</v>
      </c>
    </row>
    <row r="22" spans="1:18" x14ac:dyDescent="0.25">
      <c r="A22" s="1">
        <v>46167</v>
      </c>
      <c r="B22" t="s">
        <v>17</v>
      </c>
      <c r="C22" t="s">
        <v>18</v>
      </c>
      <c r="D22" t="s">
        <v>43</v>
      </c>
      <c r="E22" t="s">
        <v>33</v>
      </c>
      <c r="F22" t="s">
        <v>32</v>
      </c>
      <c r="G22">
        <v>26</v>
      </c>
      <c r="H22">
        <v>24</v>
      </c>
      <c r="I22">
        <v>2</v>
      </c>
      <c r="J22">
        <v>3</v>
      </c>
      <c r="K22">
        <v>72</v>
      </c>
      <c r="L22">
        <v>6</v>
      </c>
      <c r="M22">
        <v>1.47</v>
      </c>
      <c r="N22">
        <v>48.98</v>
      </c>
      <c r="O22">
        <v>7.6899999999999996E-2</v>
      </c>
      <c r="P22" t="s">
        <v>22</v>
      </c>
      <c r="Q22" t="s">
        <v>23</v>
      </c>
    </row>
    <row r="23" spans="1:18" x14ac:dyDescent="0.25">
      <c r="A23" s="1">
        <v>46167</v>
      </c>
      <c r="B23" t="s">
        <v>17</v>
      </c>
      <c r="C23" t="s">
        <v>18</v>
      </c>
      <c r="D23" t="s">
        <v>43</v>
      </c>
      <c r="E23" t="s">
        <v>34</v>
      </c>
      <c r="F23" t="s">
        <v>32</v>
      </c>
      <c r="G23">
        <v>23</v>
      </c>
      <c r="H23">
        <v>18</v>
      </c>
      <c r="I23">
        <v>5</v>
      </c>
      <c r="J23">
        <v>3.5</v>
      </c>
      <c r="K23">
        <v>63</v>
      </c>
      <c r="L23">
        <v>17.5</v>
      </c>
      <c r="M23">
        <v>1.23</v>
      </c>
      <c r="N23">
        <v>51.22</v>
      </c>
      <c r="O23">
        <v>0.21740000000000001</v>
      </c>
      <c r="P23" t="s">
        <v>22</v>
      </c>
      <c r="Q23" t="s">
        <v>23</v>
      </c>
    </row>
    <row r="24" spans="1:18" x14ac:dyDescent="0.25">
      <c r="A24" s="1">
        <v>46167</v>
      </c>
      <c r="B24" t="s">
        <v>17</v>
      </c>
      <c r="C24" t="s">
        <v>18</v>
      </c>
      <c r="D24" t="s">
        <v>43</v>
      </c>
      <c r="E24" t="s">
        <v>37</v>
      </c>
      <c r="F24" t="s">
        <v>38</v>
      </c>
      <c r="G24">
        <v>74</v>
      </c>
      <c r="H24">
        <v>72</v>
      </c>
      <c r="I24">
        <v>2</v>
      </c>
      <c r="J24">
        <v>2.4</v>
      </c>
      <c r="K24">
        <v>172.8</v>
      </c>
      <c r="L24">
        <v>4.8</v>
      </c>
      <c r="M24">
        <v>1.62</v>
      </c>
      <c r="N24">
        <v>106.67</v>
      </c>
      <c r="O24">
        <v>2.7E-2</v>
      </c>
      <c r="P24" t="s">
        <v>22</v>
      </c>
      <c r="Q24" t="s">
        <v>23</v>
      </c>
    </row>
    <row r="25" spans="1:18" x14ac:dyDescent="0.25">
      <c r="A25" s="1">
        <v>46167</v>
      </c>
      <c r="B25" t="s">
        <v>17</v>
      </c>
      <c r="C25" t="s">
        <v>18</v>
      </c>
      <c r="D25" t="s">
        <v>43</v>
      </c>
      <c r="E25" t="s">
        <v>39</v>
      </c>
      <c r="F25" t="s">
        <v>38</v>
      </c>
      <c r="G25">
        <v>38</v>
      </c>
      <c r="H25">
        <v>36</v>
      </c>
      <c r="I25">
        <v>2</v>
      </c>
      <c r="J25">
        <v>1.8</v>
      </c>
      <c r="K25">
        <v>64.8</v>
      </c>
      <c r="L25">
        <v>3.6</v>
      </c>
      <c r="M25">
        <v>1.03</v>
      </c>
      <c r="N25">
        <v>62.91</v>
      </c>
      <c r="O25">
        <v>5.2600000000000001E-2</v>
      </c>
      <c r="P25" t="s">
        <v>22</v>
      </c>
      <c r="Q25" t="s">
        <v>23</v>
      </c>
    </row>
    <row r="26" spans="1:18" x14ac:dyDescent="0.25">
      <c r="A26" s="1">
        <v>46167</v>
      </c>
      <c r="B26" t="s">
        <v>17</v>
      </c>
      <c r="C26" t="s">
        <v>18</v>
      </c>
      <c r="D26" t="s">
        <v>43</v>
      </c>
      <c r="E26" t="s">
        <v>40</v>
      </c>
      <c r="F26" t="s">
        <v>41</v>
      </c>
      <c r="G26">
        <v>30</v>
      </c>
      <c r="H26">
        <v>25</v>
      </c>
      <c r="I26">
        <v>5</v>
      </c>
      <c r="J26">
        <v>4.5999999999999996</v>
      </c>
      <c r="K26">
        <v>115</v>
      </c>
      <c r="L26">
        <v>23</v>
      </c>
      <c r="M26">
        <v>1.85</v>
      </c>
      <c r="N26">
        <v>62.16</v>
      </c>
      <c r="O26">
        <v>0.16669999999999999</v>
      </c>
      <c r="P26" t="s">
        <v>22</v>
      </c>
      <c r="Q26" t="s">
        <v>23</v>
      </c>
    </row>
    <row r="27" spans="1:18" x14ac:dyDescent="0.25">
      <c r="A27" s="1">
        <v>46167</v>
      </c>
      <c r="B27" t="s">
        <v>17</v>
      </c>
      <c r="C27" t="s">
        <v>18</v>
      </c>
      <c r="D27" t="s">
        <v>43</v>
      </c>
      <c r="E27" t="s">
        <v>42</v>
      </c>
      <c r="F27" t="s">
        <v>41</v>
      </c>
      <c r="G27">
        <v>20</v>
      </c>
      <c r="H27">
        <v>16</v>
      </c>
      <c r="I27">
        <v>4</v>
      </c>
      <c r="J27">
        <v>4.8</v>
      </c>
      <c r="K27">
        <v>76.8</v>
      </c>
      <c r="L27">
        <v>19.2</v>
      </c>
      <c r="M27">
        <v>1.33</v>
      </c>
      <c r="N27">
        <v>57.74</v>
      </c>
      <c r="O27">
        <v>0.2</v>
      </c>
      <c r="P27" t="s">
        <v>22</v>
      </c>
      <c r="Q27" t="s">
        <v>23</v>
      </c>
    </row>
    <row r="28" spans="1:18" x14ac:dyDescent="0.25">
      <c r="A28" s="1">
        <v>46168</v>
      </c>
      <c r="B28" t="s">
        <v>17</v>
      </c>
      <c r="C28" t="s">
        <v>44</v>
      </c>
      <c r="D28" t="s">
        <v>19</v>
      </c>
      <c r="E28" t="s">
        <v>20</v>
      </c>
      <c r="F28" t="s">
        <v>21</v>
      </c>
      <c r="G28">
        <v>63</v>
      </c>
      <c r="H28">
        <v>53</v>
      </c>
      <c r="I28">
        <v>10</v>
      </c>
      <c r="J28">
        <v>2.5</v>
      </c>
      <c r="K28">
        <v>132.5</v>
      </c>
      <c r="L28">
        <v>25</v>
      </c>
      <c r="M28">
        <v>3.17</v>
      </c>
      <c r="N28">
        <v>41.8</v>
      </c>
      <c r="O28">
        <v>0.15870000000000001</v>
      </c>
      <c r="P28" t="s">
        <v>22</v>
      </c>
      <c r="Q28" t="s">
        <v>23</v>
      </c>
      <c r="R28" t="s">
        <v>24</v>
      </c>
    </row>
    <row r="29" spans="1:18" x14ac:dyDescent="0.25">
      <c r="A29" s="1">
        <v>46168</v>
      </c>
      <c r="B29" t="s">
        <v>17</v>
      </c>
      <c r="C29" t="s">
        <v>44</v>
      </c>
      <c r="D29" t="s">
        <v>19</v>
      </c>
      <c r="E29" t="s">
        <v>25</v>
      </c>
      <c r="F29" t="s">
        <v>21</v>
      </c>
      <c r="G29">
        <v>52</v>
      </c>
      <c r="H29">
        <v>46</v>
      </c>
      <c r="I29">
        <v>6</v>
      </c>
      <c r="J29">
        <v>2.8</v>
      </c>
      <c r="K29">
        <v>128.80000000000001</v>
      </c>
      <c r="L29">
        <v>16.8</v>
      </c>
      <c r="M29">
        <v>2.44</v>
      </c>
      <c r="N29">
        <v>52.79</v>
      </c>
      <c r="O29">
        <v>0.1154</v>
      </c>
      <c r="P29" t="s">
        <v>35</v>
      </c>
      <c r="Q29" t="s">
        <v>23</v>
      </c>
      <c r="R29" t="s">
        <v>36</v>
      </c>
    </row>
    <row r="30" spans="1:18" x14ac:dyDescent="0.25">
      <c r="A30" s="1">
        <v>46168</v>
      </c>
      <c r="B30" t="s">
        <v>17</v>
      </c>
      <c r="C30" t="s">
        <v>44</v>
      </c>
      <c r="D30" t="s">
        <v>19</v>
      </c>
      <c r="E30" t="s">
        <v>26</v>
      </c>
      <c r="F30" t="s">
        <v>21</v>
      </c>
      <c r="G30">
        <v>47</v>
      </c>
      <c r="H30">
        <v>36</v>
      </c>
      <c r="I30">
        <v>11</v>
      </c>
      <c r="J30">
        <v>3.1</v>
      </c>
      <c r="K30">
        <v>111.6</v>
      </c>
      <c r="L30">
        <v>34.1</v>
      </c>
      <c r="M30">
        <v>2.36</v>
      </c>
      <c r="N30">
        <v>47.29</v>
      </c>
      <c r="O30">
        <v>0.23400000000000001</v>
      </c>
      <c r="P30" t="s">
        <v>35</v>
      </c>
      <c r="Q30" t="s">
        <v>23</v>
      </c>
      <c r="R30" t="s">
        <v>24</v>
      </c>
    </row>
    <row r="31" spans="1:18" x14ac:dyDescent="0.25">
      <c r="A31" s="1">
        <v>46168</v>
      </c>
      <c r="B31" t="s">
        <v>17</v>
      </c>
      <c r="C31" t="s">
        <v>44</v>
      </c>
      <c r="D31" t="s">
        <v>19</v>
      </c>
      <c r="E31" t="s">
        <v>27</v>
      </c>
      <c r="F31" t="s">
        <v>28</v>
      </c>
      <c r="G31">
        <v>30</v>
      </c>
      <c r="H31">
        <v>29</v>
      </c>
      <c r="I31">
        <v>1</v>
      </c>
      <c r="J31">
        <v>4.2</v>
      </c>
      <c r="K31">
        <v>121.8</v>
      </c>
      <c r="L31">
        <v>4.2</v>
      </c>
      <c r="M31">
        <v>2.31</v>
      </c>
      <c r="N31">
        <v>52.73</v>
      </c>
      <c r="O31">
        <v>3.3300000000000003E-2</v>
      </c>
      <c r="P31" t="s">
        <v>22</v>
      </c>
      <c r="Q31" t="s">
        <v>23</v>
      </c>
    </row>
    <row r="32" spans="1:18" x14ac:dyDescent="0.25">
      <c r="A32" s="1">
        <v>46168</v>
      </c>
      <c r="B32" t="s">
        <v>17</v>
      </c>
      <c r="C32" t="s">
        <v>44</v>
      </c>
      <c r="D32" t="s">
        <v>19</v>
      </c>
      <c r="E32" t="s">
        <v>29</v>
      </c>
      <c r="F32" t="s">
        <v>28</v>
      </c>
      <c r="G32">
        <v>44</v>
      </c>
      <c r="H32">
        <v>33</v>
      </c>
      <c r="I32">
        <v>11</v>
      </c>
      <c r="J32">
        <v>2.2999999999999998</v>
      </c>
      <c r="K32">
        <v>75.900000000000006</v>
      </c>
      <c r="L32">
        <v>25.3</v>
      </c>
      <c r="M32">
        <v>3.23</v>
      </c>
      <c r="N32">
        <v>23.5</v>
      </c>
      <c r="O32">
        <v>0.25</v>
      </c>
      <c r="P32" t="s">
        <v>22</v>
      </c>
      <c r="Q32" t="s">
        <v>23</v>
      </c>
      <c r="R32" t="s">
        <v>24</v>
      </c>
    </row>
    <row r="33" spans="1:18" x14ac:dyDescent="0.25">
      <c r="A33" s="1">
        <v>46168</v>
      </c>
      <c r="B33" t="s">
        <v>17</v>
      </c>
      <c r="C33" t="s">
        <v>44</v>
      </c>
      <c r="D33" t="s">
        <v>19</v>
      </c>
      <c r="E33" t="s">
        <v>30</v>
      </c>
      <c r="F33" t="s">
        <v>28</v>
      </c>
      <c r="G33">
        <v>25</v>
      </c>
      <c r="H33">
        <v>21</v>
      </c>
      <c r="I33">
        <v>4</v>
      </c>
      <c r="J33">
        <v>3.8</v>
      </c>
      <c r="K33">
        <v>79.8</v>
      </c>
      <c r="L33">
        <v>15.2</v>
      </c>
      <c r="M33">
        <v>2.0499999999999998</v>
      </c>
      <c r="N33">
        <v>38.93</v>
      </c>
      <c r="O33">
        <v>0.16</v>
      </c>
      <c r="P33" t="s">
        <v>22</v>
      </c>
      <c r="Q33" t="s">
        <v>23</v>
      </c>
    </row>
    <row r="34" spans="1:18" x14ac:dyDescent="0.25">
      <c r="A34" s="1">
        <v>46168</v>
      </c>
      <c r="B34" t="s">
        <v>17</v>
      </c>
      <c r="C34" t="s">
        <v>44</v>
      </c>
      <c r="D34" t="s">
        <v>19</v>
      </c>
      <c r="E34" t="s">
        <v>31</v>
      </c>
      <c r="F34" t="s">
        <v>32</v>
      </c>
      <c r="G34">
        <v>38</v>
      </c>
      <c r="H34">
        <v>38</v>
      </c>
      <c r="I34">
        <v>0</v>
      </c>
      <c r="J34">
        <v>2.9</v>
      </c>
      <c r="K34">
        <v>110.2</v>
      </c>
      <c r="L34">
        <v>0</v>
      </c>
      <c r="M34">
        <v>2.23</v>
      </c>
      <c r="N34">
        <v>49.42</v>
      </c>
      <c r="O34">
        <v>0</v>
      </c>
      <c r="P34" t="s">
        <v>22</v>
      </c>
      <c r="Q34" t="s">
        <v>23</v>
      </c>
    </row>
    <row r="35" spans="1:18" x14ac:dyDescent="0.25">
      <c r="A35" s="1">
        <v>46168</v>
      </c>
      <c r="B35" t="s">
        <v>17</v>
      </c>
      <c r="C35" t="s">
        <v>44</v>
      </c>
      <c r="D35" t="s">
        <v>19</v>
      </c>
      <c r="E35" t="s">
        <v>33</v>
      </c>
      <c r="F35" t="s">
        <v>32</v>
      </c>
      <c r="G35">
        <v>35</v>
      </c>
      <c r="H35">
        <v>26</v>
      </c>
      <c r="I35">
        <v>9</v>
      </c>
      <c r="J35">
        <v>3</v>
      </c>
      <c r="K35">
        <v>78</v>
      </c>
      <c r="L35">
        <v>27</v>
      </c>
      <c r="M35">
        <v>2.0299999999999998</v>
      </c>
      <c r="N35">
        <v>38.42</v>
      </c>
      <c r="O35">
        <v>0.2571</v>
      </c>
      <c r="P35" t="s">
        <v>22</v>
      </c>
      <c r="Q35" t="s">
        <v>23</v>
      </c>
    </row>
    <row r="36" spans="1:18" x14ac:dyDescent="0.25">
      <c r="A36" s="1">
        <v>46168</v>
      </c>
      <c r="B36" t="s">
        <v>17</v>
      </c>
      <c r="C36" t="s">
        <v>44</v>
      </c>
      <c r="D36" t="s">
        <v>19</v>
      </c>
      <c r="E36" t="s">
        <v>34</v>
      </c>
      <c r="F36" t="s">
        <v>32</v>
      </c>
      <c r="G36">
        <v>26</v>
      </c>
      <c r="H36">
        <v>23</v>
      </c>
      <c r="I36">
        <v>3</v>
      </c>
      <c r="J36">
        <v>3.5</v>
      </c>
      <c r="K36">
        <v>80.5</v>
      </c>
      <c r="L36">
        <v>10.5</v>
      </c>
      <c r="M36">
        <v>1.51</v>
      </c>
      <c r="N36">
        <v>53.31</v>
      </c>
      <c r="O36">
        <v>0.1154</v>
      </c>
      <c r="P36" t="s">
        <v>22</v>
      </c>
      <c r="Q36" t="s">
        <v>23</v>
      </c>
    </row>
    <row r="37" spans="1:18" x14ac:dyDescent="0.25">
      <c r="A37" s="1">
        <v>46168</v>
      </c>
      <c r="B37" t="s">
        <v>17</v>
      </c>
      <c r="C37" t="s">
        <v>44</v>
      </c>
      <c r="D37" t="s">
        <v>19</v>
      </c>
      <c r="E37" t="s">
        <v>37</v>
      </c>
      <c r="F37" t="s">
        <v>38</v>
      </c>
      <c r="G37">
        <v>103</v>
      </c>
      <c r="H37">
        <v>91</v>
      </c>
      <c r="I37">
        <v>12</v>
      </c>
      <c r="J37">
        <v>2.4</v>
      </c>
      <c r="K37">
        <v>218.4</v>
      </c>
      <c r="L37">
        <v>28.8</v>
      </c>
      <c r="M37">
        <v>1.97</v>
      </c>
      <c r="N37">
        <v>110.86</v>
      </c>
      <c r="O37">
        <v>0.11650000000000001</v>
      </c>
      <c r="P37" t="s">
        <v>22</v>
      </c>
      <c r="Q37" t="s">
        <v>23</v>
      </c>
    </row>
    <row r="38" spans="1:18" x14ac:dyDescent="0.25">
      <c r="A38" s="1">
        <v>46168</v>
      </c>
      <c r="B38" t="s">
        <v>17</v>
      </c>
      <c r="C38" t="s">
        <v>44</v>
      </c>
      <c r="D38" t="s">
        <v>19</v>
      </c>
      <c r="E38" t="s">
        <v>39</v>
      </c>
      <c r="F38" t="s">
        <v>38</v>
      </c>
      <c r="G38">
        <v>52</v>
      </c>
      <c r="H38">
        <v>46</v>
      </c>
      <c r="I38">
        <v>6</v>
      </c>
      <c r="J38">
        <v>1.8</v>
      </c>
      <c r="K38">
        <v>82.8</v>
      </c>
      <c r="L38">
        <v>10.8</v>
      </c>
      <c r="M38">
        <v>1.08</v>
      </c>
      <c r="N38">
        <v>76.67</v>
      </c>
      <c r="O38">
        <v>0.1154</v>
      </c>
      <c r="P38" t="s">
        <v>22</v>
      </c>
      <c r="Q38" t="s">
        <v>23</v>
      </c>
    </row>
    <row r="39" spans="1:18" x14ac:dyDescent="0.25">
      <c r="A39" s="1">
        <v>46168</v>
      </c>
      <c r="B39" t="s">
        <v>17</v>
      </c>
      <c r="C39" t="s">
        <v>44</v>
      </c>
      <c r="D39" t="s">
        <v>19</v>
      </c>
      <c r="E39" t="s">
        <v>40</v>
      </c>
      <c r="F39" t="s">
        <v>41</v>
      </c>
      <c r="G39">
        <v>43</v>
      </c>
      <c r="H39">
        <v>35</v>
      </c>
      <c r="I39">
        <v>8</v>
      </c>
      <c r="J39">
        <v>4.5999999999999996</v>
      </c>
      <c r="K39">
        <v>161</v>
      </c>
      <c r="L39">
        <v>36.799999999999997</v>
      </c>
      <c r="M39">
        <v>2.79</v>
      </c>
      <c r="N39">
        <v>57.71</v>
      </c>
      <c r="O39">
        <v>0.186</v>
      </c>
      <c r="P39" t="s">
        <v>35</v>
      </c>
      <c r="Q39" t="s">
        <v>23</v>
      </c>
      <c r="R39" t="s">
        <v>36</v>
      </c>
    </row>
    <row r="40" spans="1:18" x14ac:dyDescent="0.25">
      <c r="A40" s="1">
        <v>46168</v>
      </c>
      <c r="B40" t="s">
        <v>17</v>
      </c>
      <c r="C40" t="s">
        <v>44</v>
      </c>
      <c r="D40" t="s">
        <v>19</v>
      </c>
      <c r="E40" t="s">
        <v>42</v>
      </c>
      <c r="F40" t="s">
        <v>41</v>
      </c>
      <c r="G40">
        <v>24</v>
      </c>
      <c r="H40">
        <v>21</v>
      </c>
      <c r="I40">
        <v>3</v>
      </c>
      <c r="J40">
        <v>4.8</v>
      </c>
      <c r="K40">
        <v>100.8</v>
      </c>
      <c r="L40">
        <v>14.4</v>
      </c>
      <c r="M40">
        <v>1.67</v>
      </c>
      <c r="N40">
        <v>60.36</v>
      </c>
      <c r="O40">
        <v>0.125</v>
      </c>
      <c r="P40" t="s">
        <v>22</v>
      </c>
      <c r="Q40" t="s">
        <v>23</v>
      </c>
    </row>
    <row r="41" spans="1:18" x14ac:dyDescent="0.25">
      <c r="A41" s="1">
        <v>46168</v>
      </c>
      <c r="B41" t="s">
        <v>17</v>
      </c>
      <c r="C41" t="s">
        <v>44</v>
      </c>
      <c r="D41" t="s">
        <v>43</v>
      </c>
      <c r="E41" t="s">
        <v>20</v>
      </c>
      <c r="F41" t="s">
        <v>21</v>
      </c>
      <c r="G41">
        <v>47</v>
      </c>
      <c r="H41">
        <v>38</v>
      </c>
      <c r="I41">
        <v>9</v>
      </c>
      <c r="J41">
        <v>2.5</v>
      </c>
      <c r="K41">
        <v>95</v>
      </c>
      <c r="L41">
        <v>22.5</v>
      </c>
      <c r="M41">
        <v>2.35</v>
      </c>
      <c r="N41">
        <v>40.43</v>
      </c>
      <c r="O41">
        <v>0.1915</v>
      </c>
      <c r="P41" t="s">
        <v>22</v>
      </c>
      <c r="Q41" t="s">
        <v>23</v>
      </c>
    </row>
    <row r="42" spans="1:18" x14ac:dyDescent="0.25">
      <c r="A42" s="1">
        <v>46168</v>
      </c>
      <c r="B42" t="s">
        <v>17</v>
      </c>
      <c r="C42" t="s">
        <v>44</v>
      </c>
      <c r="D42" t="s">
        <v>43</v>
      </c>
      <c r="E42" t="s">
        <v>25</v>
      </c>
      <c r="F42" t="s">
        <v>21</v>
      </c>
      <c r="G42">
        <v>41</v>
      </c>
      <c r="H42">
        <v>35</v>
      </c>
      <c r="I42">
        <v>6</v>
      </c>
      <c r="J42">
        <v>2.8</v>
      </c>
      <c r="K42">
        <v>98</v>
      </c>
      <c r="L42">
        <v>16.8</v>
      </c>
      <c r="M42">
        <v>1.92</v>
      </c>
      <c r="N42">
        <v>51.04</v>
      </c>
      <c r="O42">
        <v>0.14630000000000001</v>
      </c>
      <c r="P42" t="s">
        <v>22</v>
      </c>
      <c r="Q42" t="s">
        <v>23</v>
      </c>
    </row>
    <row r="43" spans="1:18" x14ac:dyDescent="0.25">
      <c r="A43" s="1">
        <v>46168</v>
      </c>
      <c r="B43" t="s">
        <v>17</v>
      </c>
      <c r="C43" t="s">
        <v>44</v>
      </c>
      <c r="D43" t="s">
        <v>43</v>
      </c>
      <c r="E43" t="s">
        <v>26</v>
      </c>
      <c r="F43" t="s">
        <v>21</v>
      </c>
      <c r="G43">
        <v>32</v>
      </c>
      <c r="H43">
        <v>24</v>
      </c>
      <c r="I43">
        <v>8</v>
      </c>
      <c r="J43">
        <v>3.1</v>
      </c>
      <c r="K43">
        <v>74.400000000000006</v>
      </c>
      <c r="L43">
        <v>24.8</v>
      </c>
      <c r="M43">
        <v>1.53</v>
      </c>
      <c r="N43">
        <v>48.63</v>
      </c>
      <c r="O43">
        <v>0.25</v>
      </c>
      <c r="P43" t="s">
        <v>22</v>
      </c>
      <c r="Q43" t="s">
        <v>23</v>
      </c>
    </row>
    <row r="44" spans="1:18" x14ac:dyDescent="0.25">
      <c r="A44" s="1">
        <v>46168</v>
      </c>
      <c r="B44" t="s">
        <v>17</v>
      </c>
      <c r="C44" t="s">
        <v>44</v>
      </c>
      <c r="D44" t="s">
        <v>43</v>
      </c>
      <c r="E44" t="s">
        <v>27</v>
      </c>
      <c r="F44" t="s">
        <v>28</v>
      </c>
      <c r="G44">
        <v>29</v>
      </c>
      <c r="H44">
        <v>24</v>
      </c>
      <c r="I44">
        <v>5</v>
      </c>
      <c r="J44">
        <v>4.2</v>
      </c>
      <c r="K44">
        <v>100.8</v>
      </c>
      <c r="L44">
        <v>21</v>
      </c>
      <c r="M44">
        <v>2.3199999999999998</v>
      </c>
      <c r="N44">
        <v>43.45</v>
      </c>
      <c r="O44">
        <v>0.1724</v>
      </c>
      <c r="P44" t="s">
        <v>35</v>
      </c>
      <c r="Q44" t="s">
        <v>23</v>
      </c>
      <c r="R44" t="s">
        <v>36</v>
      </c>
    </row>
    <row r="45" spans="1:18" x14ac:dyDescent="0.25">
      <c r="A45" s="1">
        <v>46168</v>
      </c>
      <c r="B45" t="s">
        <v>17</v>
      </c>
      <c r="C45" t="s">
        <v>44</v>
      </c>
      <c r="D45" t="s">
        <v>43</v>
      </c>
      <c r="E45" t="s">
        <v>29</v>
      </c>
      <c r="F45" t="s">
        <v>28</v>
      </c>
      <c r="G45">
        <v>33</v>
      </c>
      <c r="H45">
        <v>27</v>
      </c>
      <c r="I45">
        <v>6</v>
      </c>
      <c r="J45">
        <v>2.2999999999999998</v>
      </c>
      <c r="K45">
        <v>62.1</v>
      </c>
      <c r="L45">
        <v>13.8</v>
      </c>
      <c r="M45">
        <v>2.4900000000000002</v>
      </c>
      <c r="N45">
        <v>24.94</v>
      </c>
      <c r="O45">
        <v>0.18179999999999999</v>
      </c>
      <c r="P45" t="s">
        <v>22</v>
      </c>
      <c r="Q45" t="s">
        <v>23</v>
      </c>
    </row>
    <row r="46" spans="1:18" x14ac:dyDescent="0.25">
      <c r="A46" s="1">
        <v>46168</v>
      </c>
      <c r="B46" t="s">
        <v>17</v>
      </c>
      <c r="C46" t="s">
        <v>44</v>
      </c>
      <c r="D46" t="s">
        <v>43</v>
      </c>
      <c r="E46" t="s">
        <v>30</v>
      </c>
      <c r="F46" t="s">
        <v>28</v>
      </c>
      <c r="G46">
        <v>18</v>
      </c>
      <c r="H46">
        <v>16</v>
      </c>
      <c r="I46">
        <v>2</v>
      </c>
      <c r="J46">
        <v>3.8</v>
      </c>
      <c r="K46">
        <v>60.8</v>
      </c>
      <c r="L46">
        <v>7.6</v>
      </c>
      <c r="M46">
        <v>1.51</v>
      </c>
      <c r="N46">
        <v>40.26</v>
      </c>
      <c r="O46">
        <v>0.1111</v>
      </c>
      <c r="P46" t="s">
        <v>22</v>
      </c>
      <c r="Q46" t="s">
        <v>23</v>
      </c>
    </row>
    <row r="47" spans="1:18" x14ac:dyDescent="0.25">
      <c r="A47" s="1">
        <v>46168</v>
      </c>
      <c r="B47" t="s">
        <v>17</v>
      </c>
      <c r="C47" t="s">
        <v>44</v>
      </c>
      <c r="D47" t="s">
        <v>43</v>
      </c>
      <c r="E47" t="s">
        <v>31</v>
      </c>
      <c r="F47" t="s">
        <v>32</v>
      </c>
      <c r="G47">
        <v>34</v>
      </c>
      <c r="H47">
        <v>30</v>
      </c>
      <c r="I47">
        <v>4</v>
      </c>
      <c r="J47">
        <v>2.9</v>
      </c>
      <c r="K47">
        <v>87</v>
      </c>
      <c r="L47">
        <v>11.6</v>
      </c>
      <c r="M47">
        <v>1.85</v>
      </c>
      <c r="N47">
        <v>47.03</v>
      </c>
      <c r="O47">
        <v>0.1176</v>
      </c>
      <c r="P47" t="s">
        <v>35</v>
      </c>
      <c r="Q47" t="s">
        <v>23</v>
      </c>
      <c r="R47" t="s">
        <v>36</v>
      </c>
    </row>
    <row r="48" spans="1:18" x14ac:dyDescent="0.25">
      <c r="A48" s="1">
        <v>46168</v>
      </c>
      <c r="B48" t="s">
        <v>17</v>
      </c>
      <c r="C48" t="s">
        <v>44</v>
      </c>
      <c r="D48" t="s">
        <v>43</v>
      </c>
      <c r="E48" t="s">
        <v>33</v>
      </c>
      <c r="F48" t="s">
        <v>32</v>
      </c>
      <c r="G48">
        <v>29</v>
      </c>
      <c r="H48">
        <v>24</v>
      </c>
      <c r="I48">
        <v>5</v>
      </c>
      <c r="J48">
        <v>3</v>
      </c>
      <c r="K48">
        <v>72</v>
      </c>
      <c r="L48">
        <v>15</v>
      </c>
      <c r="M48">
        <v>1.63</v>
      </c>
      <c r="N48">
        <v>44.17</v>
      </c>
      <c r="O48">
        <v>0.1724</v>
      </c>
      <c r="P48" t="s">
        <v>35</v>
      </c>
      <c r="Q48" t="s">
        <v>23</v>
      </c>
      <c r="R48" t="s">
        <v>36</v>
      </c>
    </row>
    <row r="49" spans="1:18" x14ac:dyDescent="0.25">
      <c r="A49" s="1">
        <v>46168</v>
      </c>
      <c r="B49" t="s">
        <v>17</v>
      </c>
      <c r="C49" t="s">
        <v>44</v>
      </c>
      <c r="D49" t="s">
        <v>43</v>
      </c>
      <c r="E49" t="s">
        <v>34</v>
      </c>
      <c r="F49" t="s">
        <v>32</v>
      </c>
      <c r="G49">
        <v>21</v>
      </c>
      <c r="H49">
        <v>17</v>
      </c>
      <c r="I49">
        <v>4</v>
      </c>
      <c r="J49">
        <v>3.5</v>
      </c>
      <c r="K49">
        <v>59.5</v>
      </c>
      <c r="L49">
        <v>14</v>
      </c>
      <c r="M49">
        <v>1.38</v>
      </c>
      <c r="N49">
        <v>43.12</v>
      </c>
      <c r="O49">
        <v>0.1905</v>
      </c>
      <c r="P49" t="s">
        <v>22</v>
      </c>
      <c r="Q49" t="s">
        <v>23</v>
      </c>
    </row>
    <row r="50" spans="1:18" x14ac:dyDescent="0.25">
      <c r="A50" s="1">
        <v>46168</v>
      </c>
      <c r="B50" t="s">
        <v>17</v>
      </c>
      <c r="C50" t="s">
        <v>44</v>
      </c>
      <c r="D50" t="s">
        <v>43</v>
      </c>
      <c r="E50" t="s">
        <v>37</v>
      </c>
      <c r="F50" t="s">
        <v>38</v>
      </c>
      <c r="G50">
        <v>82</v>
      </c>
      <c r="H50">
        <v>74</v>
      </c>
      <c r="I50">
        <v>8</v>
      </c>
      <c r="J50">
        <v>2.4</v>
      </c>
      <c r="K50">
        <v>177.6</v>
      </c>
      <c r="L50">
        <v>19.2</v>
      </c>
      <c r="M50">
        <v>1.54</v>
      </c>
      <c r="N50">
        <v>115.32</v>
      </c>
      <c r="O50">
        <v>9.7600000000000006E-2</v>
      </c>
      <c r="P50" t="s">
        <v>22</v>
      </c>
      <c r="Q50" t="s">
        <v>23</v>
      </c>
    </row>
    <row r="51" spans="1:18" x14ac:dyDescent="0.25">
      <c r="A51" s="1">
        <v>46168</v>
      </c>
      <c r="B51" t="s">
        <v>17</v>
      </c>
      <c r="C51" t="s">
        <v>44</v>
      </c>
      <c r="D51" t="s">
        <v>43</v>
      </c>
      <c r="E51" t="s">
        <v>39</v>
      </c>
      <c r="F51" t="s">
        <v>38</v>
      </c>
      <c r="G51">
        <v>51</v>
      </c>
      <c r="H51">
        <v>48</v>
      </c>
      <c r="I51">
        <v>3</v>
      </c>
      <c r="J51">
        <v>1.8</v>
      </c>
      <c r="K51">
        <v>86.4</v>
      </c>
      <c r="L51">
        <v>5.4</v>
      </c>
      <c r="M51">
        <v>1.25</v>
      </c>
      <c r="N51">
        <v>69.12</v>
      </c>
      <c r="O51">
        <v>5.8799999999999998E-2</v>
      </c>
      <c r="P51" t="s">
        <v>35</v>
      </c>
      <c r="Q51" t="s">
        <v>23</v>
      </c>
      <c r="R51" t="s">
        <v>36</v>
      </c>
    </row>
    <row r="52" spans="1:18" x14ac:dyDescent="0.25">
      <c r="A52" s="1">
        <v>46168</v>
      </c>
      <c r="B52" t="s">
        <v>17</v>
      </c>
      <c r="C52" t="s">
        <v>44</v>
      </c>
      <c r="D52" t="s">
        <v>43</v>
      </c>
      <c r="E52" t="s">
        <v>40</v>
      </c>
      <c r="F52" t="s">
        <v>41</v>
      </c>
      <c r="G52">
        <v>27</v>
      </c>
      <c r="H52">
        <v>25</v>
      </c>
      <c r="I52">
        <v>2</v>
      </c>
      <c r="J52">
        <v>4.5999999999999996</v>
      </c>
      <c r="K52">
        <v>115</v>
      </c>
      <c r="L52">
        <v>9.1999999999999993</v>
      </c>
      <c r="M52">
        <v>1.73</v>
      </c>
      <c r="N52">
        <v>66.47</v>
      </c>
      <c r="O52">
        <v>7.4099999999999999E-2</v>
      </c>
      <c r="P52" t="s">
        <v>22</v>
      </c>
      <c r="Q52" t="s">
        <v>23</v>
      </c>
    </row>
    <row r="53" spans="1:18" x14ac:dyDescent="0.25">
      <c r="A53" s="1">
        <v>46168</v>
      </c>
      <c r="B53" t="s">
        <v>17</v>
      </c>
      <c r="C53" t="s">
        <v>44</v>
      </c>
      <c r="D53" t="s">
        <v>43</v>
      </c>
      <c r="E53" t="s">
        <v>42</v>
      </c>
      <c r="F53" t="s">
        <v>41</v>
      </c>
      <c r="G53">
        <v>18</v>
      </c>
      <c r="H53">
        <v>16</v>
      </c>
      <c r="I53">
        <v>2</v>
      </c>
      <c r="J53">
        <v>4.8</v>
      </c>
      <c r="K53">
        <v>76.8</v>
      </c>
      <c r="L53">
        <v>9.6</v>
      </c>
      <c r="M53">
        <v>1.43</v>
      </c>
      <c r="N53">
        <v>53.71</v>
      </c>
      <c r="O53">
        <v>0.1111</v>
      </c>
      <c r="P53" t="s">
        <v>22</v>
      </c>
      <c r="Q53" t="s">
        <v>23</v>
      </c>
    </row>
    <row r="54" spans="1:18" x14ac:dyDescent="0.25">
      <c r="A54" s="1">
        <v>46169</v>
      </c>
      <c r="B54" t="s">
        <v>17</v>
      </c>
      <c r="C54" t="s">
        <v>45</v>
      </c>
      <c r="D54" t="s">
        <v>19</v>
      </c>
      <c r="E54" t="s">
        <v>20</v>
      </c>
      <c r="F54" t="s">
        <v>21</v>
      </c>
      <c r="G54">
        <v>73</v>
      </c>
      <c r="H54">
        <v>61</v>
      </c>
      <c r="I54">
        <v>12</v>
      </c>
      <c r="J54">
        <v>2.5</v>
      </c>
      <c r="K54">
        <v>152.5</v>
      </c>
      <c r="L54">
        <v>30</v>
      </c>
      <c r="M54">
        <v>3.62</v>
      </c>
      <c r="N54">
        <v>42.13</v>
      </c>
      <c r="O54">
        <v>0.16439999999999999</v>
      </c>
      <c r="P54" t="s">
        <v>22</v>
      </c>
      <c r="Q54" t="s">
        <v>46</v>
      </c>
      <c r="R54" t="s">
        <v>24</v>
      </c>
    </row>
    <row r="55" spans="1:18" x14ac:dyDescent="0.25">
      <c r="A55" s="1">
        <v>46169</v>
      </c>
      <c r="B55" t="s">
        <v>17</v>
      </c>
      <c r="C55" t="s">
        <v>45</v>
      </c>
      <c r="D55" t="s">
        <v>19</v>
      </c>
      <c r="E55" t="s">
        <v>25</v>
      </c>
      <c r="F55" t="s">
        <v>21</v>
      </c>
      <c r="G55">
        <v>63</v>
      </c>
      <c r="H55">
        <v>56</v>
      </c>
      <c r="I55">
        <v>7</v>
      </c>
      <c r="J55">
        <v>2.8</v>
      </c>
      <c r="K55">
        <v>156.80000000000001</v>
      </c>
      <c r="L55">
        <v>19.600000000000001</v>
      </c>
      <c r="M55">
        <v>2.93</v>
      </c>
      <c r="N55">
        <v>53.52</v>
      </c>
      <c r="O55">
        <v>0.1111</v>
      </c>
      <c r="P55" t="s">
        <v>35</v>
      </c>
      <c r="Q55" t="s">
        <v>46</v>
      </c>
      <c r="R55" t="s">
        <v>47</v>
      </c>
    </row>
    <row r="56" spans="1:18" x14ac:dyDescent="0.25">
      <c r="A56" s="1">
        <v>46169</v>
      </c>
      <c r="B56" t="s">
        <v>17</v>
      </c>
      <c r="C56" t="s">
        <v>45</v>
      </c>
      <c r="D56" t="s">
        <v>19</v>
      </c>
      <c r="E56" t="s">
        <v>26</v>
      </c>
      <c r="F56" t="s">
        <v>21</v>
      </c>
      <c r="G56">
        <v>49</v>
      </c>
      <c r="H56">
        <v>39</v>
      </c>
      <c r="I56">
        <v>10</v>
      </c>
      <c r="J56">
        <v>3.1</v>
      </c>
      <c r="K56">
        <v>120.9</v>
      </c>
      <c r="L56">
        <v>31</v>
      </c>
      <c r="M56">
        <v>2.42</v>
      </c>
      <c r="N56">
        <v>49.96</v>
      </c>
      <c r="O56">
        <v>0.2041</v>
      </c>
      <c r="P56" t="s">
        <v>22</v>
      </c>
      <c r="Q56" t="s">
        <v>46</v>
      </c>
      <c r="R56" t="s">
        <v>24</v>
      </c>
    </row>
    <row r="57" spans="1:18" x14ac:dyDescent="0.25">
      <c r="A57" s="1">
        <v>46169</v>
      </c>
      <c r="B57" t="s">
        <v>17</v>
      </c>
      <c r="C57" t="s">
        <v>45</v>
      </c>
      <c r="D57" t="s">
        <v>19</v>
      </c>
      <c r="E57" t="s">
        <v>27</v>
      </c>
      <c r="F57" t="s">
        <v>28</v>
      </c>
      <c r="G57">
        <v>34</v>
      </c>
      <c r="H57">
        <v>32</v>
      </c>
      <c r="I57">
        <v>2</v>
      </c>
      <c r="J57">
        <v>4.2</v>
      </c>
      <c r="K57">
        <v>134.4</v>
      </c>
      <c r="L57">
        <v>8.4</v>
      </c>
      <c r="M57">
        <v>2.58</v>
      </c>
      <c r="N57">
        <v>52.09</v>
      </c>
      <c r="O57">
        <v>5.8799999999999998E-2</v>
      </c>
      <c r="P57" t="s">
        <v>22</v>
      </c>
      <c r="Q57" t="s">
        <v>46</v>
      </c>
    </row>
    <row r="58" spans="1:18" x14ac:dyDescent="0.25">
      <c r="A58" s="1">
        <v>46169</v>
      </c>
      <c r="B58" t="s">
        <v>17</v>
      </c>
      <c r="C58" t="s">
        <v>45</v>
      </c>
      <c r="D58" t="s">
        <v>19</v>
      </c>
      <c r="E58" t="s">
        <v>29</v>
      </c>
      <c r="F58" t="s">
        <v>28</v>
      </c>
      <c r="G58">
        <v>47</v>
      </c>
      <c r="H58">
        <v>47</v>
      </c>
      <c r="I58">
        <v>0</v>
      </c>
      <c r="J58">
        <v>2.2999999999999998</v>
      </c>
      <c r="K58">
        <v>108.1</v>
      </c>
      <c r="L58">
        <v>0</v>
      </c>
      <c r="M58">
        <v>3.36</v>
      </c>
      <c r="N58">
        <v>32.17</v>
      </c>
      <c r="O58">
        <v>0</v>
      </c>
      <c r="P58" t="s">
        <v>22</v>
      </c>
      <c r="Q58" t="s">
        <v>46</v>
      </c>
    </row>
    <row r="59" spans="1:18" x14ac:dyDescent="0.25">
      <c r="A59" s="1">
        <v>46169</v>
      </c>
      <c r="B59" t="s">
        <v>17</v>
      </c>
      <c r="C59" t="s">
        <v>45</v>
      </c>
      <c r="D59" t="s">
        <v>19</v>
      </c>
      <c r="E59" t="s">
        <v>30</v>
      </c>
      <c r="F59" t="s">
        <v>28</v>
      </c>
      <c r="G59">
        <v>27</v>
      </c>
      <c r="H59">
        <v>23</v>
      </c>
      <c r="I59">
        <v>4</v>
      </c>
      <c r="J59">
        <v>3.8</v>
      </c>
      <c r="K59">
        <v>87.4</v>
      </c>
      <c r="L59">
        <v>15.2</v>
      </c>
      <c r="M59">
        <v>2.0099999999999998</v>
      </c>
      <c r="N59">
        <v>43.48</v>
      </c>
      <c r="O59">
        <v>0.14810000000000001</v>
      </c>
      <c r="P59" t="s">
        <v>22</v>
      </c>
      <c r="Q59" t="s">
        <v>46</v>
      </c>
    </row>
    <row r="60" spans="1:18" x14ac:dyDescent="0.25">
      <c r="A60" s="1">
        <v>46169</v>
      </c>
      <c r="B60" t="s">
        <v>17</v>
      </c>
      <c r="C60" t="s">
        <v>45</v>
      </c>
      <c r="D60" t="s">
        <v>19</v>
      </c>
      <c r="E60" t="s">
        <v>31</v>
      </c>
      <c r="F60" t="s">
        <v>32</v>
      </c>
      <c r="G60">
        <v>51</v>
      </c>
      <c r="H60">
        <v>38</v>
      </c>
      <c r="I60">
        <v>13</v>
      </c>
      <c r="J60">
        <v>2.9</v>
      </c>
      <c r="K60">
        <v>110.2</v>
      </c>
      <c r="L60">
        <v>37.700000000000003</v>
      </c>
      <c r="M60">
        <v>2.78</v>
      </c>
      <c r="N60">
        <v>39.64</v>
      </c>
      <c r="O60">
        <v>0.25490000000000002</v>
      </c>
      <c r="P60" t="s">
        <v>22</v>
      </c>
      <c r="Q60" t="s">
        <v>46</v>
      </c>
      <c r="R60" t="s">
        <v>24</v>
      </c>
    </row>
    <row r="61" spans="1:18" x14ac:dyDescent="0.25">
      <c r="A61" s="1">
        <v>46169</v>
      </c>
      <c r="B61" t="s">
        <v>17</v>
      </c>
      <c r="C61" t="s">
        <v>45</v>
      </c>
      <c r="D61" t="s">
        <v>19</v>
      </c>
      <c r="E61" t="s">
        <v>33</v>
      </c>
      <c r="F61" t="s">
        <v>32</v>
      </c>
      <c r="G61">
        <v>39</v>
      </c>
      <c r="H61">
        <v>34</v>
      </c>
      <c r="I61">
        <v>5</v>
      </c>
      <c r="J61">
        <v>3</v>
      </c>
      <c r="K61">
        <v>102</v>
      </c>
      <c r="L61">
        <v>15</v>
      </c>
      <c r="M61">
        <v>2.16</v>
      </c>
      <c r="N61">
        <v>47.22</v>
      </c>
      <c r="O61">
        <v>0.12820000000000001</v>
      </c>
      <c r="P61" t="s">
        <v>22</v>
      </c>
      <c r="Q61" t="s">
        <v>46</v>
      </c>
    </row>
    <row r="62" spans="1:18" x14ac:dyDescent="0.25">
      <c r="A62" s="1">
        <v>46169</v>
      </c>
      <c r="B62" t="s">
        <v>17</v>
      </c>
      <c r="C62" t="s">
        <v>45</v>
      </c>
      <c r="D62" t="s">
        <v>19</v>
      </c>
      <c r="E62" t="s">
        <v>34</v>
      </c>
      <c r="F62" t="s">
        <v>32</v>
      </c>
      <c r="G62">
        <v>34</v>
      </c>
      <c r="H62">
        <v>32</v>
      </c>
      <c r="I62">
        <v>2</v>
      </c>
      <c r="J62">
        <v>3.5</v>
      </c>
      <c r="K62">
        <v>112</v>
      </c>
      <c r="L62">
        <v>7</v>
      </c>
      <c r="M62">
        <v>1.82</v>
      </c>
      <c r="N62">
        <v>61.54</v>
      </c>
      <c r="O62">
        <v>5.8799999999999998E-2</v>
      </c>
      <c r="P62" t="s">
        <v>35</v>
      </c>
      <c r="Q62" t="s">
        <v>46</v>
      </c>
      <c r="R62" t="s">
        <v>47</v>
      </c>
    </row>
    <row r="63" spans="1:18" x14ac:dyDescent="0.25">
      <c r="A63" s="1">
        <v>46169</v>
      </c>
      <c r="B63" t="s">
        <v>17</v>
      </c>
      <c r="C63" t="s">
        <v>45</v>
      </c>
      <c r="D63" t="s">
        <v>19</v>
      </c>
      <c r="E63" t="s">
        <v>37</v>
      </c>
      <c r="F63" t="s">
        <v>38</v>
      </c>
      <c r="G63">
        <v>115</v>
      </c>
      <c r="H63">
        <v>102</v>
      </c>
      <c r="I63">
        <v>13</v>
      </c>
      <c r="J63">
        <v>2.4</v>
      </c>
      <c r="K63">
        <v>244.8</v>
      </c>
      <c r="L63">
        <v>31.2</v>
      </c>
      <c r="M63">
        <v>2.21</v>
      </c>
      <c r="N63">
        <v>110.77</v>
      </c>
      <c r="O63">
        <v>0.113</v>
      </c>
      <c r="P63" t="s">
        <v>22</v>
      </c>
      <c r="Q63" t="s">
        <v>46</v>
      </c>
    </row>
    <row r="64" spans="1:18" x14ac:dyDescent="0.25">
      <c r="A64" s="1">
        <v>46169</v>
      </c>
      <c r="B64" t="s">
        <v>17</v>
      </c>
      <c r="C64" t="s">
        <v>45</v>
      </c>
      <c r="D64" t="s">
        <v>19</v>
      </c>
      <c r="E64" t="s">
        <v>39</v>
      </c>
      <c r="F64" t="s">
        <v>38</v>
      </c>
      <c r="G64">
        <v>58</v>
      </c>
      <c r="H64">
        <v>56</v>
      </c>
      <c r="I64">
        <v>2</v>
      </c>
      <c r="J64">
        <v>1.8</v>
      </c>
      <c r="K64">
        <v>100.8</v>
      </c>
      <c r="L64">
        <v>3.6</v>
      </c>
      <c r="M64">
        <v>1.39</v>
      </c>
      <c r="N64">
        <v>72.52</v>
      </c>
      <c r="O64">
        <v>3.4500000000000003E-2</v>
      </c>
      <c r="P64" t="s">
        <v>22</v>
      </c>
      <c r="Q64" t="s">
        <v>46</v>
      </c>
    </row>
    <row r="65" spans="1:18" x14ac:dyDescent="0.25">
      <c r="A65" s="1">
        <v>46169</v>
      </c>
      <c r="B65" t="s">
        <v>17</v>
      </c>
      <c r="C65" t="s">
        <v>45</v>
      </c>
      <c r="D65" t="s">
        <v>19</v>
      </c>
      <c r="E65" t="s">
        <v>40</v>
      </c>
      <c r="F65" t="s">
        <v>41</v>
      </c>
      <c r="G65">
        <v>44</v>
      </c>
      <c r="H65">
        <v>38</v>
      </c>
      <c r="I65">
        <v>6</v>
      </c>
      <c r="J65">
        <v>4.5999999999999996</v>
      </c>
      <c r="K65">
        <v>174.8</v>
      </c>
      <c r="L65">
        <v>27.6</v>
      </c>
      <c r="M65">
        <v>2.77</v>
      </c>
      <c r="N65">
        <v>63.1</v>
      </c>
      <c r="O65">
        <v>0.13639999999999999</v>
      </c>
      <c r="P65" t="s">
        <v>35</v>
      </c>
      <c r="Q65" t="s">
        <v>46</v>
      </c>
      <c r="R65" t="s">
        <v>36</v>
      </c>
    </row>
    <row r="66" spans="1:18" x14ac:dyDescent="0.25">
      <c r="A66" s="1">
        <v>46169</v>
      </c>
      <c r="B66" t="s">
        <v>17</v>
      </c>
      <c r="C66" t="s">
        <v>45</v>
      </c>
      <c r="D66" t="s">
        <v>19</v>
      </c>
      <c r="E66" t="s">
        <v>42</v>
      </c>
      <c r="F66" t="s">
        <v>41</v>
      </c>
      <c r="G66">
        <v>35</v>
      </c>
      <c r="H66">
        <v>30</v>
      </c>
      <c r="I66">
        <v>5</v>
      </c>
      <c r="J66">
        <v>4.8</v>
      </c>
      <c r="K66">
        <v>144</v>
      </c>
      <c r="L66">
        <v>24</v>
      </c>
      <c r="M66">
        <v>2.2599999999999998</v>
      </c>
      <c r="N66">
        <v>63.72</v>
      </c>
      <c r="O66">
        <v>0.1429</v>
      </c>
      <c r="P66" t="s">
        <v>35</v>
      </c>
      <c r="Q66" t="s">
        <v>46</v>
      </c>
      <c r="R66" t="s">
        <v>47</v>
      </c>
    </row>
    <row r="67" spans="1:18" x14ac:dyDescent="0.25">
      <c r="A67" s="1">
        <v>46169</v>
      </c>
      <c r="B67" t="s">
        <v>17</v>
      </c>
      <c r="C67" t="s">
        <v>45</v>
      </c>
      <c r="D67" t="s">
        <v>43</v>
      </c>
      <c r="E67" t="s">
        <v>20</v>
      </c>
      <c r="F67" t="s">
        <v>21</v>
      </c>
      <c r="G67">
        <v>61</v>
      </c>
      <c r="H67">
        <v>51</v>
      </c>
      <c r="I67">
        <v>10</v>
      </c>
      <c r="J67">
        <v>2.5</v>
      </c>
      <c r="K67">
        <v>127.5</v>
      </c>
      <c r="L67">
        <v>25</v>
      </c>
      <c r="M67">
        <v>2.98</v>
      </c>
      <c r="N67">
        <v>42.79</v>
      </c>
      <c r="O67">
        <v>0.16389999999999999</v>
      </c>
      <c r="P67" t="s">
        <v>22</v>
      </c>
      <c r="Q67" t="s">
        <v>46</v>
      </c>
      <c r="R67" t="s">
        <v>24</v>
      </c>
    </row>
    <row r="68" spans="1:18" x14ac:dyDescent="0.25">
      <c r="A68" s="1">
        <v>46169</v>
      </c>
      <c r="B68" t="s">
        <v>17</v>
      </c>
      <c r="C68" t="s">
        <v>45</v>
      </c>
      <c r="D68" t="s">
        <v>43</v>
      </c>
      <c r="E68" t="s">
        <v>25</v>
      </c>
      <c r="F68" t="s">
        <v>21</v>
      </c>
      <c r="G68">
        <v>51</v>
      </c>
      <c r="H68">
        <v>37</v>
      </c>
      <c r="I68">
        <v>14</v>
      </c>
      <c r="J68">
        <v>2.8</v>
      </c>
      <c r="K68">
        <v>103.6</v>
      </c>
      <c r="L68">
        <v>39.200000000000003</v>
      </c>
      <c r="M68">
        <v>2.59</v>
      </c>
      <c r="N68">
        <v>40</v>
      </c>
      <c r="O68">
        <v>0.27450000000000002</v>
      </c>
      <c r="P68" t="s">
        <v>35</v>
      </c>
      <c r="Q68" t="s">
        <v>46</v>
      </c>
      <c r="R68" t="s">
        <v>24</v>
      </c>
    </row>
    <row r="69" spans="1:18" x14ac:dyDescent="0.25">
      <c r="A69" s="1">
        <v>46169</v>
      </c>
      <c r="B69" t="s">
        <v>17</v>
      </c>
      <c r="C69" t="s">
        <v>45</v>
      </c>
      <c r="D69" t="s">
        <v>43</v>
      </c>
      <c r="E69" t="s">
        <v>26</v>
      </c>
      <c r="F69" t="s">
        <v>21</v>
      </c>
      <c r="G69">
        <v>37</v>
      </c>
      <c r="H69">
        <v>33</v>
      </c>
      <c r="I69">
        <v>4</v>
      </c>
      <c r="J69">
        <v>3.1</v>
      </c>
      <c r="K69">
        <v>102.3</v>
      </c>
      <c r="L69">
        <v>12.4</v>
      </c>
      <c r="M69">
        <v>1.76</v>
      </c>
      <c r="N69">
        <v>58.12</v>
      </c>
      <c r="O69">
        <v>0.1081</v>
      </c>
      <c r="P69" t="s">
        <v>22</v>
      </c>
      <c r="Q69" t="s">
        <v>46</v>
      </c>
    </row>
    <row r="70" spans="1:18" x14ac:dyDescent="0.25">
      <c r="A70" s="1">
        <v>46169</v>
      </c>
      <c r="B70" t="s">
        <v>17</v>
      </c>
      <c r="C70" t="s">
        <v>45</v>
      </c>
      <c r="D70" t="s">
        <v>43</v>
      </c>
      <c r="E70" t="s">
        <v>27</v>
      </c>
      <c r="F70" t="s">
        <v>28</v>
      </c>
      <c r="G70">
        <v>27</v>
      </c>
      <c r="H70">
        <v>25</v>
      </c>
      <c r="I70">
        <v>2</v>
      </c>
      <c r="J70">
        <v>4.2</v>
      </c>
      <c r="K70">
        <v>105</v>
      </c>
      <c r="L70">
        <v>8.4</v>
      </c>
      <c r="M70">
        <v>2.02</v>
      </c>
      <c r="N70">
        <v>51.98</v>
      </c>
      <c r="O70">
        <v>7.4099999999999999E-2</v>
      </c>
      <c r="P70" t="s">
        <v>22</v>
      </c>
      <c r="Q70" t="s">
        <v>46</v>
      </c>
    </row>
    <row r="71" spans="1:18" x14ac:dyDescent="0.25">
      <c r="A71" s="1">
        <v>46169</v>
      </c>
      <c r="B71" t="s">
        <v>17</v>
      </c>
      <c r="C71" t="s">
        <v>45</v>
      </c>
      <c r="D71" t="s">
        <v>43</v>
      </c>
      <c r="E71" t="s">
        <v>29</v>
      </c>
      <c r="F71" t="s">
        <v>28</v>
      </c>
      <c r="G71">
        <v>41</v>
      </c>
      <c r="H71">
        <v>31</v>
      </c>
      <c r="I71">
        <v>10</v>
      </c>
      <c r="J71">
        <v>2.2999999999999998</v>
      </c>
      <c r="K71">
        <v>71.3</v>
      </c>
      <c r="L71">
        <v>23</v>
      </c>
      <c r="M71">
        <v>3.11</v>
      </c>
      <c r="N71">
        <v>22.93</v>
      </c>
      <c r="O71">
        <v>0.24390000000000001</v>
      </c>
      <c r="P71" t="s">
        <v>22</v>
      </c>
      <c r="Q71" t="s">
        <v>46</v>
      </c>
      <c r="R71" t="s">
        <v>24</v>
      </c>
    </row>
    <row r="72" spans="1:18" x14ac:dyDescent="0.25">
      <c r="A72" s="1">
        <v>46169</v>
      </c>
      <c r="B72" t="s">
        <v>17</v>
      </c>
      <c r="C72" t="s">
        <v>45</v>
      </c>
      <c r="D72" t="s">
        <v>43</v>
      </c>
      <c r="E72" t="s">
        <v>30</v>
      </c>
      <c r="F72" t="s">
        <v>28</v>
      </c>
      <c r="G72">
        <v>21</v>
      </c>
      <c r="H72">
        <v>19</v>
      </c>
      <c r="I72">
        <v>2</v>
      </c>
      <c r="J72">
        <v>3.8</v>
      </c>
      <c r="K72">
        <v>72.2</v>
      </c>
      <c r="L72">
        <v>7.6</v>
      </c>
      <c r="M72">
        <v>1.77</v>
      </c>
      <c r="N72">
        <v>40.79</v>
      </c>
      <c r="O72">
        <v>9.5200000000000007E-2</v>
      </c>
      <c r="P72" t="s">
        <v>22</v>
      </c>
      <c r="Q72" t="s">
        <v>46</v>
      </c>
    </row>
    <row r="73" spans="1:18" x14ac:dyDescent="0.25">
      <c r="A73" s="1">
        <v>46169</v>
      </c>
      <c r="B73" t="s">
        <v>17</v>
      </c>
      <c r="C73" t="s">
        <v>45</v>
      </c>
      <c r="D73" t="s">
        <v>43</v>
      </c>
      <c r="E73" t="s">
        <v>31</v>
      </c>
      <c r="F73" t="s">
        <v>32</v>
      </c>
      <c r="G73">
        <v>37</v>
      </c>
      <c r="H73">
        <v>30</v>
      </c>
      <c r="I73">
        <v>7</v>
      </c>
      <c r="J73">
        <v>2.9</v>
      </c>
      <c r="K73">
        <v>87</v>
      </c>
      <c r="L73">
        <v>20.3</v>
      </c>
      <c r="M73">
        <v>1.9</v>
      </c>
      <c r="N73">
        <v>45.79</v>
      </c>
      <c r="O73">
        <v>0.18920000000000001</v>
      </c>
      <c r="P73" t="s">
        <v>22</v>
      </c>
      <c r="Q73" t="s">
        <v>46</v>
      </c>
    </row>
    <row r="74" spans="1:18" x14ac:dyDescent="0.25">
      <c r="A74" s="1">
        <v>46169</v>
      </c>
      <c r="B74" t="s">
        <v>17</v>
      </c>
      <c r="C74" t="s">
        <v>45</v>
      </c>
      <c r="D74" t="s">
        <v>43</v>
      </c>
      <c r="E74" t="s">
        <v>33</v>
      </c>
      <c r="F74" t="s">
        <v>32</v>
      </c>
      <c r="G74">
        <v>32</v>
      </c>
      <c r="H74">
        <v>25</v>
      </c>
      <c r="I74">
        <v>7</v>
      </c>
      <c r="J74">
        <v>3</v>
      </c>
      <c r="K74">
        <v>75</v>
      </c>
      <c r="L74">
        <v>21</v>
      </c>
      <c r="M74">
        <v>1.87</v>
      </c>
      <c r="N74">
        <v>40.11</v>
      </c>
      <c r="O74">
        <v>0.21879999999999999</v>
      </c>
      <c r="P74" t="s">
        <v>22</v>
      </c>
      <c r="Q74" t="s">
        <v>46</v>
      </c>
    </row>
    <row r="75" spans="1:18" x14ac:dyDescent="0.25">
      <c r="A75" s="1">
        <v>46169</v>
      </c>
      <c r="B75" t="s">
        <v>17</v>
      </c>
      <c r="C75" t="s">
        <v>45</v>
      </c>
      <c r="D75" t="s">
        <v>43</v>
      </c>
      <c r="E75" t="s">
        <v>34</v>
      </c>
      <c r="F75" t="s">
        <v>32</v>
      </c>
      <c r="G75">
        <v>25</v>
      </c>
      <c r="H75">
        <v>19</v>
      </c>
      <c r="I75">
        <v>6</v>
      </c>
      <c r="J75">
        <v>3.5</v>
      </c>
      <c r="K75">
        <v>66.5</v>
      </c>
      <c r="L75">
        <v>21</v>
      </c>
      <c r="M75">
        <v>1.32</v>
      </c>
      <c r="N75">
        <v>50.38</v>
      </c>
      <c r="O75">
        <v>0.24</v>
      </c>
      <c r="P75" t="s">
        <v>22</v>
      </c>
      <c r="Q75" t="s">
        <v>46</v>
      </c>
    </row>
    <row r="76" spans="1:18" x14ac:dyDescent="0.25">
      <c r="A76" s="1">
        <v>46169</v>
      </c>
      <c r="B76" t="s">
        <v>17</v>
      </c>
      <c r="C76" t="s">
        <v>45</v>
      </c>
      <c r="D76" t="s">
        <v>43</v>
      </c>
      <c r="E76" t="s">
        <v>37</v>
      </c>
      <c r="F76" t="s">
        <v>38</v>
      </c>
      <c r="G76">
        <v>106</v>
      </c>
      <c r="H76">
        <v>95</v>
      </c>
      <c r="I76">
        <v>11</v>
      </c>
      <c r="J76">
        <v>2.4</v>
      </c>
      <c r="K76">
        <v>228</v>
      </c>
      <c r="L76">
        <v>26.4</v>
      </c>
      <c r="M76">
        <v>2.21</v>
      </c>
      <c r="N76">
        <v>103.17</v>
      </c>
      <c r="O76">
        <v>0.1038</v>
      </c>
      <c r="P76" t="s">
        <v>35</v>
      </c>
      <c r="Q76" t="s">
        <v>46</v>
      </c>
      <c r="R76" t="s">
        <v>36</v>
      </c>
    </row>
    <row r="77" spans="1:18" x14ac:dyDescent="0.25">
      <c r="A77" s="1">
        <v>46169</v>
      </c>
      <c r="B77" t="s">
        <v>17</v>
      </c>
      <c r="C77" t="s">
        <v>45</v>
      </c>
      <c r="D77" t="s">
        <v>43</v>
      </c>
      <c r="E77" t="s">
        <v>39</v>
      </c>
      <c r="F77" t="s">
        <v>38</v>
      </c>
      <c r="G77">
        <v>45</v>
      </c>
      <c r="H77">
        <v>41</v>
      </c>
      <c r="I77">
        <v>4</v>
      </c>
      <c r="J77">
        <v>1.8</v>
      </c>
      <c r="K77">
        <v>73.8</v>
      </c>
      <c r="L77">
        <v>7.2</v>
      </c>
      <c r="M77">
        <v>0.95</v>
      </c>
      <c r="N77">
        <v>77.680000000000007</v>
      </c>
      <c r="O77">
        <v>8.8900000000000007E-2</v>
      </c>
      <c r="P77" t="s">
        <v>22</v>
      </c>
      <c r="Q77" t="s">
        <v>46</v>
      </c>
    </row>
    <row r="78" spans="1:18" x14ac:dyDescent="0.25">
      <c r="A78" s="1">
        <v>46169</v>
      </c>
      <c r="B78" t="s">
        <v>17</v>
      </c>
      <c r="C78" t="s">
        <v>45</v>
      </c>
      <c r="D78" t="s">
        <v>43</v>
      </c>
      <c r="E78" t="s">
        <v>40</v>
      </c>
      <c r="F78" t="s">
        <v>41</v>
      </c>
      <c r="G78">
        <v>39</v>
      </c>
      <c r="H78">
        <v>34</v>
      </c>
      <c r="I78">
        <v>5</v>
      </c>
      <c r="J78">
        <v>4.5999999999999996</v>
      </c>
      <c r="K78">
        <v>156.4</v>
      </c>
      <c r="L78">
        <v>23</v>
      </c>
      <c r="M78">
        <v>2.66</v>
      </c>
      <c r="N78">
        <v>58.8</v>
      </c>
      <c r="O78">
        <v>0.12820000000000001</v>
      </c>
      <c r="P78" t="s">
        <v>35</v>
      </c>
      <c r="Q78" t="s">
        <v>46</v>
      </c>
      <c r="R78" t="s">
        <v>47</v>
      </c>
    </row>
    <row r="79" spans="1:18" x14ac:dyDescent="0.25">
      <c r="A79" s="1">
        <v>46169</v>
      </c>
      <c r="B79" t="s">
        <v>17</v>
      </c>
      <c r="C79" t="s">
        <v>45</v>
      </c>
      <c r="D79" t="s">
        <v>43</v>
      </c>
      <c r="E79" t="s">
        <v>42</v>
      </c>
      <c r="F79" t="s">
        <v>41</v>
      </c>
      <c r="G79">
        <v>22</v>
      </c>
      <c r="H79">
        <v>18</v>
      </c>
      <c r="I79">
        <v>4</v>
      </c>
      <c r="J79">
        <v>4.8</v>
      </c>
      <c r="K79">
        <v>86.4</v>
      </c>
      <c r="L79">
        <v>19.2</v>
      </c>
      <c r="M79">
        <v>1.6</v>
      </c>
      <c r="N79">
        <v>54</v>
      </c>
      <c r="O79">
        <v>0.18179999999999999</v>
      </c>
      <c r="P79" t="s">
        <v>22</v>
      </c>
      <c r="Q79" t="s">
        <v>46</v>
      </c>
    </row>
    <row r="80" spans="1:18" x14ac:dyDescent="0.25">
      <c r="A80" s="1">
        <v>46170</v>
      </c>
      <c r="B80" t="s">
        <v>17</v>
      </c>
      <c r="C80" t="s">
        <v>48</v>
      </c>
      <c r="D80" t="s">
        <v>19</v>
      </c>
      <c r="E80" t="s">
        <v>20</v>
      </c>
      <c r="F80" t="s">
        <v>21</v>
      </c>
      <c r="G80">
        <v>65</v>
      </c>
      <c r="H80">
        <v>49</v>
      </c>
      <c r="I80">
        <v>16</v>
      </c>
      <c r="J80">
        <v>2.5</v>
      </c>
      <c r="K80">
        <v>122.5</v>
      </c>
      <c r="L80">
        <v>40</v>
      </c>
      <c r="M80">
        <v>3.25</v>
      </c>
      <c r="N80">
        <v>37.69</v>
      </c>
      <c r="O80">
        <v>0.2462</v>
      </c>
      <c r="P80" t="s">
        <v>22</v>
      </c>
      <c r="Q80" t="s">
        <v>49</v>
      </c>
      <c r="R80" t="s">
        <v>24</v>
      </c>
    </row>
    <row r="81" spans="1:18" x14ac:dyDescent="0.25">
      <c r="A81" s="1">
        <v>46170</v>
      </c>
      <c r="B81" t="s">
        <v>17</v>
      </c>
      <c r="C81" t="s">
        <v>48</v>
      </c>
      <c r="D81" t="s">
        <v>19</v>
      </c>
      <c r="E81" t="s">
        <v>25</v>
      </c>
      <c r="F81" t="s">
        <v>21</v>
      </c>
      <c r="G81">
        <v>59</v>
      </c>
      <c r="H81">
        <v>49</v>
      </c>
      <c r="I81">
        <v>10</v>
      </c>
      <c r="J81">
        <v>2.8</v>
      </c>
      <c r="K81">
        <v>137.19999999999999</v>
      </c>
      <c r="L81">
        <v>28</v>
      </c>
      <c r="M81">
        <v>2.97</v>
      </c>
      <c r="N81">
        <v>46.2</v>
      </c>
      <c r="O81">
        <v>0.16950000000000001</v>
      </c>
      <c r="P81" t="s">
        <v>35</v>
      </c>
      <c r="Q81" t="s">
        <v>49</v>
      </c>
      <c r="R81" t="s">
        <v>24</v>
      </c>
    </row>
    <row r="82" spans="1:18" x14ac:dyDescent="0.25">
      <c r="A82" s="1">
        <v>46170</v>
      </c>
      <c r="B82" t="s">
        <v>17</v>
      </c>
      <c r="C82" t="s">
        <v>48</v>
      </c>
      <c r="D82" t="s">
        <v>19</v>
      </c>
      <c r="E82" t="s">
        <v>26</v>
      </c>
      <c r="F82" t="s">
        <v>21</v>
      </c>
      <c r="G82">
        <v>41</v>
      </c>
      <c r="H82">
        <v>32</v>
      </c>
      <c r="I82">
        <v>9</v>
      </c>
      <c r="J82">
        <v>3.1</v>
      </c>
      <c r="K82">
        <v>99.2</v>
      </c>
      <c r="L82">
        <v>27.9</v>
      </c>
      <c r="M82">
        <v>2.17</v>
      </c>
      <c r="N82">
        <v>45.71</v>
      </c>
      <c r="O82">
        <v>0.2195</v>
      </c>
      <c r="P82" t="s">
        <v>22</v>
      </c>
      <c r="Q82" t="s">
        <v>49</v>
      </c>
    </row>
    <row r="83" spans="1:18" x14ac:dyDescent="0.25">
      <c r="A83" s="1">
        <v>46170</v>
      </c>
      <c r="B83" t="s">
        <v>17</v>
      </c>
      <c r="C83" t="s">
        <v>48</v>
      </c>
      <c r="D83" t="s">
        <v>19</v>
      </c>
      <c r="E83" t="s">
        <v>27</v>
      </c>
      <c r="F83" t="s">
        <v>28</v>
      </c>
      <c r="G83">
        <v>34</v>
      </c>
      <c r="H83">
        <v>29</v>
      </c>
      <c r="I83">
        <v>5</v>
      </c>
      <c r="J83">
        <v>4.2</v>
      </c>
      <c r="K83">
        <v>121.8</v>
      </c>
      <c r="L83">
        <v>21</v>
      </c>
      <c r="M83">
        <v>2.5099999999999998</v>
      </c>
      <c r="N83">
        <v>48.53</v>
      </c>
      <c r="O83">
        <v>0.14710000000000001</v>
      </c>
      <c r="P83" t="s">
        <v>22</v>
      </c>
      <c r="Q83" t="s">
        <v>49</v>
      </c>
    </row>
    <row r="84" spans="1:18" x14ac:dyDescent="0.25">
      <c r="A84" s="1">
        <v>46170</v>
      </c>
      <c r="B84" t="s">
        <v>17</v>
      </c>
      <c r="C84" t="s">
        <v>48</v>
      </c>
      <c r="D84" t="s">
        <v>19</v>
      </c>
      <c r="E84" t="s">
        <v>29</v>
      </c>
      <c r="F84" t="s">
        <v>28</v>
      </c>
      <c r="G84">
        <v>41</v>
      </c>
      <c r="H84">
        <v>40</v>
      </c>
      <c r="I84">
        <v>1</v>
      </c>
      <c r="J84">
        <v>2.2999999999999998</v>
      </c>
      <c r="K84">
        <v>92</v>
      </c>
      <c r="L84">
        <v>2.2999999999999998</v>
      </c>
      <c r="M84">
        <v>3.18</v>
      </c>
      <c r="N84">
        <v>28.93</v>
      </c>
      <c r="O84">
        <v>2.4400000000000002E-2</v>
      </c>
      <c r="P84" t="s">
        <v>22</v>
      </c>
      <c r="Q84" t="s">
        <v>49</v>
      </c>
    </row>
    <row r="85" spans="1:18" x14ac:dyDescent="0.25">
      <c r="A85" s="1">
        <v>46170</v>
      </c>
      <c r="B85" t="s">
        <v>17</v>
      </c>
      <c r="C85" t="s">
        <v>48</v>
      </c>
      <c r="D85" t="s">
        <v>19</v>
      </c>
      <c r="E85" t="s">
        <v>30</v>
      </c>
      <c r="F85" t="s">
        <v>28</v>
      </c>
      <c r="G85">
        <v>24</v>
      </c>
      <c r="H85">
        <v>19</v>
      </c>
      <c r="I85">
        <v>5</v>
      </c>
      <c r="J85">
        <v>3.8</v>
      </c>
      <c r="K85">
        <v>72.2</v>
      </c>
      <c r="L85">
        <v>19</v>
      </c>
      <c r="M85">
        <v>1.82</v>
      </c>
      <c r="N85">
        <v>39.67</v>
      </c>
      <c r="O85">
        <v>0.20830000000000001</v>
      </c>
      <c r="P85" t="s">
        <v>22</v>
      </c>
      <c r="Q85" t="s">
        <v>49</v>
      </c>
    </row>
    <row r="86" spans="1:18" x14ac:dyDescent="0.25">
      <c r="A86" s="1">
        <v>46170</v>
      </c>
      <c r="B86" t="s">
        <v>17</v>
      </c>
      <c r="C86" t="s">
        <v>48</v>
      </c>
      <c r="D86" t="s">
        <v>19</v>
      </c>
      <c r="E86" t="s">
        <v>31</v>
      </c>
      <c r="F86" t="s">
        <v>32</v>
      </c>
      <c r="G86">
        <v>39</v>
      </c>
      <c r="H86">
        <v>31</v>
      </c>
      <c r="I86">
        <v>8</v>
      </c>
      <c r="J86">
        <v>2.9</v>
      </c>
      <c r="K86">
        <v>89.9</v>
      </c>
      <c r="L86">
        <v>23.2</v>
      </c>
      <c r="M86">
        <v>2.06</v>
      </c>
      <c r="N86">
        <v>43.64</v>
      </c>
      <c r="O86">
        <v>0.2051</v>
      </c>
      <c r="P86" t="s">
        <v>22</v>
      </c>
      <c r="Q86" t="s">
        <v>49</v>
      </c>
    </row>
    <row r="87" spans="1:18" x14ac:dyDescent="0.25">
      <c r="A87" s="1">
        <v>46170</v>
      </c>
      <c r="B87" t="s">
        <v>17</v>
      </c>
      <c r="C87" t="s">
        <v>48</v>
      </c>
      <c r="D87" t="s">
        <v>19</v>
      </c>
      <c r="E87" t="s">
        <v>33</v>
      </c>
      <c r="F87" t="s">
        <v>32</v>
      </c>
      <c r="G87">
        <v>37</v>
      </c>
      <c r="H87">
        <v>32</v>
      </c>
      <c r="I87">
        <v>5</v>
      </c>
      <c r="J87">
        <v>3</v>
      </c>
      <c r="K87">
        <v>96</v>
      </c>
      <c r="L87">
        <v>15</v>
      </c>
      <c r="M87">
        <v>1.98</v>
      </c>
      <c r="N87">
        <v>48.48</v>
      </c>
      <c r="O87">
        <v>0.1351</v>
      </c>
      <c r="P87" t="s">
        <v>22</v>
      </c>
      <c r="Q87" t="s">
        <v>49</v>
      </c>
    </row>
    <row r="88" spans="1:18" x14ac:dyDescent="0.25">
      <c r="A88" s="1">
        <v>46170</v>
      </c>
      <c r="B88" t="s">
        <v>17</v>
      </c>
      <c r="C88" t="s">
        <v>48</v>
      </c>
      <c r="D88" t="s">
        <v>19</v>
      </c>
      <c r="E88" t="s">
        <v>34</v>
      </c>
      <c r="F88" t="s">
        <v>32</v>
      </c>
      <c r="G88">
        <v>27</v>
      </c>
      <c r="H88">
        <v>26</v>
      </c>
      <c r="I88">
        <v>1</v>
      </c>
      <c r="J88">
        <v>3.5</v>
      </c>
      <c r="K88">
        <v>91</v>
      </c>
      <c r="L88">
        <v>3.5</v>
      </c>
      <c r="M88">
        <v>1.56</v>
      </c>
      <c r="N88">
        <v>58.33</v>
      </c>
      <c r="O88">
        <v>3.6999999999999998E-2</v>
      </c>
      <c r="P88" t="s">
        <v>22</v>
      </c>
      <c r="Q88" t="s">
        <v>49</v>
      </c>
    </row>
    <row r="89" spans="1:18" x14ac:dyDescent="0.25">
      <c r="A89" s="1">
        <v>46170</v>
      </c>
      <c r="B89" t="s">
        <v>17</v>
      </c>
      <c r="C89" t="s">
        <v>48</v>
      </c>
      <c r="D89" t="s">
        <v>19</v>
      </c>
      <c r="E89" t="s">
        <v>37</v>
      </c>
      <c r="F89" t="s">
        <v>38</v>
      </c>
      <c r="G89">
        <v>114</v>
      </c>
      <c r="H89">
        <v>114</v>
      </c>
      <c r="I89">
        <v>0</v>
      </c>
      <c r="J89">
        <v>2.4</v>
      </c>
      <c r="K89">
        <v>273.60000000000002</v>
      </c>
      <c r="L89">
        <v>0</v>
      </c>
      <c r="M89">
        <v>2.16</v>
      </c>
      <c r="N89">
        <v>126.67</v>
      </c>
      <c r="O89">
        <v>0</v>
      </c>
      <c r="P89" t="s">
        <v>35</v>
      </c>
      <c r="Q89" t="s">
        <v>49</v>
      </c>
      <c r="R89" t="s">
        <v>36</v>
      </c>
    </row>
    <row r="90" spans="1:18" x14ac:dyDescent="0.25">
      <c r="A90" s="1">
        <v>46170</v>
      </c>
      <c r="B90" t="s">
        <v>17</v>
      </c>
      <c r="C90" t="s">
        <v>48</v>
      </c>
      <c r="D90" t="s">
        <v>19</v>
      </c>
      <c r="E90" t="s">
        <v>39</v>
      </c>
      <c r="F90" t="s">
        <v>38</v>
      </c>
      <c r="G90">
        <v>55</v>
      </c>
      <c r="H90">
        <v>50</v>
      </c>
      <c r="I90">
        <v>5</v>
      </c>
      <c r="J90">
        <v>1.8</v>
      </c>
      <c r="K90">
        <v>90</v>
      </c>
      <c r="L90">
        <v>9</v>
      </c>
      <c r="M90">
        <v>1.17</v>
      </c>
      <c r="N90">
        <v>76.92</v>
      </c>
      <c r="O90">
        <v>9.0899999999999995E-2</v>
      </c>
      <c r="P90" t="s">
        <v>35</v>
      </c>
      <c r="Q90" t="s">
        <v>49</v>
      </c>
      <c r="R90" t="s">
        <v>36</v>
      </c>
    </row>
    <row r="91" spans="1:18" x14ac:dyDescent="0.25">
      <c r="A91" s="1">
        <v>46170</v>
      </c>
      <c r="B91" t="s">
        <v>17</v>
      </c>
      <c r="C91" t="s">
        <v>48</v>
      </c>
      <c r="D91" t="s">
        <v>19</v>
      </c>
      <c r="E91" t="s">
        <v>40</v>
      </c>
      <c r="F91" t="s">
        <v>41</v>
      </c>
      <c r="G91">
        <v>36</v>
      </c>
      <c r="H91">
        <v>32</v>
      </c>
      <c r="I91">
        <v>4</v>
      </c>
      <c r="J91">
        <v>4.5999999999999996</v>
      </c>
      <c r="K91">
        <v>147.19999999999999</v>
      </c>
      <c r="L91">
        <v>18.399999999999999</v>
      </c>
      <c r="M91">
        <v>2.36</v>
      </c>
      <c r="N91">
        <v>62.37</v>
      </c>
      <c r="O91">
        <v>0.1111</v>
      </c>
      <c r="P91" t="s">
        <v>22</v>
      </c>
      <c r="Q91" t="s">
        <v>49</v>
      </c>
    </row>
    <row r="92" spans="1:18" x14ac:dyDescent="0.25">
      <c r="A92" s="1">
        <v>46170</v>
      </c>
      <c r="B92" t="s">
        <v>17</v>
      </c>
      <c r="C92" t="s">
        <v>48</v>
      </c>
      <c r="D92" t="s">
        <v>19</v>
      </c>
      <c r="E92" t="s">
        <v>42</v>
      </c>
      <c r="F92" t="s">
        <v>41</v>
      </c>
      <c r="G92">
        <v>26</v>
      </c>
      <c r="H92">
        <v>20</v>
      </c>
      <c r="I92">
        <v>6</v>
      </c>
      <c r="J92">
        <v>4.8</v>
      </c>
      <c r="K92">
        <v>96</v>
      </c>
      <c r="L92">
        <v>28.8</v>
      </c>
      <c r="M92">
        <v>1.82</v>
      </c>
      <c r="N92">
        <v>52.75</v>
      </c>
      <c r="O92">
        <v>0.23080000000000001</v>
      </c>
      <c r="P92" t="s">
        <v>22</v>
      </c>
      <c r="Q92" t="s">
        <v>49</v>
      </c>
    </row>
    <row r="93" spans="1:18" x14ac:dyDescent="0.25">
      <c r="A93" s="1">
        <v>46170</v>
      </c>
      <c r="B93" t="s">
        <v>17</v>
      </c>
      <c r="C93" t="s">
        <v>48</v>
      </c>
      <c r="D93" t="s">
        <v>43</v>
      </c>
      <c r="E93" t="s">
        <v>20</v>
      </c>
      <c r="F93" t="s">
        <v>21</v>
      </c>
      <c r="G93">
        <v>54</v>
      </c>
      <c r="H93">
        <v>43</v>
      </c>
      <c r="I93">
        <v>11</v>
      </c>
      <c r="J93">
        <v>2.5</v>
      </c>
      <c r="K93">
        <v>107.5</v>
      </c>
      <c r="L93">
        <v>27.5</v>
      </c>
      <c r="M93">
        <v>2.7</v>
      </c>
      <c r="N93">
        <v>39.81</v>
      </c>
      <c r="O93">
        <v>0.20369999999999999</v>
      </c>
      <c r="P93" t="s">
        <v>22</v>
      </c>
      <c r="Q93" t="s">
        <v>49</v>
      </c>
      <c r="R93" t="s">
        <v>24</v>
      </c>
    </row>
    <row r="94" spans="1:18" x14ac:dyDescent="0.25">
      <c r="A94" s="1">
        <v>46170</v>
      </c>
      <c r="B94" t="s">
        <v>17</v>
      </c>
      <c r="C94" t="s">
        <v>48</v>
      </c>
      <c r="D94" t="s">
        <v>43</v>
      </c>
      <c r="E94" t="s">
        <v>25</v>
      </c>
      <c r="F94" t="s">
        <v>21</v>
      </c>
      <c r="G94">
        <v>39</v>
      </c>
      <c r="H94">
        <v>31</v>
      </c>
      <c r="I94">
        <v>8</v>
      </c>
      <c r="J94">
        <v>2.8</v>
      </c>
      <c r="K94">
        <v>86.8</v>
      </c>
      <c r="L94">
        <v>22.4</v>
      </c>
      <c r="M94">
        <v>1.83</v>
      </c>
      <c r="N94">
        <v>47.43</v>
      </c>
      <c r="O94">
        <v>0.2051</v>
      </c>
      <c r="P94" t="s">
        <v>22</v>
      </c>
      <c r="Q94" t="s">
        <v>49</v>
      </c>
    </row>
    <row r="95" spans="1:18" x14ac:dyDescent="0.25">
      <c r="A95" s="1">
        <v>46170</v>
      </c>
      <c r="B95" t="s">
        <v>17</v>
      </c>
      <c r="C95" t="s">
        <v>48</v>
      </c>
      <c r="D95" t="s">
        <v>43</v>
      </c>
      <c r="E95" t="s">
        <v>26</v>
      </c>
      <c r="F95" t="s">
        <v>21</v>
      </c>
      <c r="G95">
        <v>30</v>
      </c>
      <c r="H95">
        <v>25</v>
      </c>
      <c r="I95">
        <v>5</v>
      </c>
      <c r="J95">
        <v>3.1</v>
      </c>
      <c r="K95">
        <v>77.5</v>
      </c>
      <c r="L95">
        <v>15.5</v>
      </c>
      <c r="M95">
        <v>1.65</v>
      </c>
      <c r="N95">
        <v>46.97</v>
      </c>
      <c r="O95">
        <v>0.16669999999999999</v>
      </c>
      <c r="P95" t="s">
        <v>22</v>
      </c>
      <c r="Q95" t="s">
        <v>49</v>
      </c>
    </row>
    <row r="96" spans="1:18" x14ac:dyDescent="0.25">
      <c r="A96" s="1">
        <v>46170</v>
      </c>
      <c r="B96" t="s">
        <v>17</v>
      </c>
      <c r="C96" t="s">
        <v>48</v>
      </c>
      <c r="D96" t="s">
        <v>43</v>
      </c>
      <c r="E96" t="s">
        <v>27</v>
      </c>
      <c r="F96" t="s">
        <v>28</v>
      </c>
      <c r="G96">
        <v>24</v>
      </c>
      <c r="H96">
        <v>21</v>
      </c>
      <c r="I96">
        <v>3</v>
      </c>
      <c r="J96">
        <v>4.2</v>
      </c>
      <c r="K96">
        <v>88.2</v>
      </c>
      <c r="L96">
        <v>12.6</v>
      </c>
      <c r="M96">
        <v>1.85</v>
      </c>
      <c r="N96">
        <v>47.68</v>
      </c>
      <c r="O96">
        <v>0.125</v>
      </c>
      <c r="P96" t="s">
        <v>22</v>
      </c>
      <c r="Q96" t="s">
        <v>49</v>
      </c>
    </row>
    <row r="97" spans="1:18" x14ac:dyDescent="0.25">
      <c r="A97" s="1">
        <v>46170</v>
      </c>
      <c r="B97" t="s">
        <v>17</v>
      </c>
      <c r="C97" t="s">
        <v>48</v>
      </c>
      <c r="D97" t="s">
        <v>43</v>
      </c>
      <c r="E97" t="s">
        <v>29</v>
      </c>
      <c r="F97" t="s">
        <v>28</v>
      </c>
      <c r="G97">
        <v>33</v>
      </c>
      <c r="H97">
        <v>27</v>
      </c>
      <c r="I97">
        <v>6</v>
      </c>
      <c r="J97">
        <v>2.2999999999999998</v>
      </c>
      <c r="K97">
        <v>62.1</v>
      </c>
      <c r="L97">
        <v>13.8</v>
      </c>
      <c r="M97">
        <v>2.4900000000000002</v>
      </c>
      <c r="N97">
        <v>24.94</v>
      </c>
      <c r="O97">
        <v>0.18179999999999999</v>
      </c>
      <c r="P97" t="s">
        <v>22</v>
      </c>
      <c r="Q97" t="s">
        <v>49</v>
      </c>
    </row>
    <row r="98" spans="1:18" x14ac:dyDescent="0.25">
      <c r="A98" s="1">
        <v>46170</v>
      </c>
      <c r="B98" t="s">
        <v>17</v>
      </c>
      <c r="C98" t="s">
        <v>48</v>
      </c>
      <c r="D98" t="s">
        <v>43</v>
      </c>
      <c r="E98" t="s">
        <v>30</v>
      </c>
      <c r="F98" t="s">
        <v>28</v>
      </c>
      <c r="G98">
        <v>21</v>
      </c>
      <c r="H98">
        <v>19</v>
      </c>
      <c r="I98">
        <v>2</v>
      </c>
      <c r="J98">
        <v>3.8</v>
      </c>
      <c r="K98">
        <v>72.2</v>
      </c>
      <c r="L98">
        <v>7.6</v>
      </c>
      <c r="M98">
        <v>1.7</v>
      </c>
      <c r="N98">
        <v>42.47</v>
      </c>
      <c r="O98">
        <v>9.5200000000000007E-2</v>
      </c>
      <c r="P98" t="s">
        <v>35</v>
      </c>
      <c r="Q98" t="s">
        <v>49</v>
      </c>
      <c r="R98" t="s">
        <v>36</v>
      </c>
    </row>
    <row r="99" spans="1:18" x14ac:dyDescent="0.25">
      <c r="A99" s="1">
        <v>46170</v>
      </c>
      <c r="B99" t="s">
        <v>17</v>
      </c>
      <c r="C99" t="s">
        <v>48</v>
      </c>
      <c r="D99" t="s">
        <v>43</v>
      </c>
      <c r="E99" t="s">
        <v>31</v>
      </c>
      <c r="F99" t="s">
        <v>32</v>
      </c>
      <c r="G99">
        <v>33</v>
      </c>
      <c r="H99">
        <v>24</v>
      </c>
      <c r="I99">
        <v>9</v>
      </c>
      <c r="J99">
        <v>2.9</v>
      </c>
      <c r="K99">
        <v>69.599999999999994</v>
      </c>
      <c r="L99">
        <v>26.1</v>
      </c>
      <c r="M99">
        <v>1.79</v>
      </c>
      <c r="N99">
        <v>38.880000000000003</v>
      </c>
      <c r="O99">
        <v>0.2727</v>
      </c>
      <c r="P99" t="s">
        <v>22</v>
      </c>
      <c r="Q99" t="s">
        <v>49</v>
      </c>
    </row>
    <row r="100" spans="1:18" x14ac:dyDescent="0.25">
      <c r="A100" s="1">
        <v>46170</v>
      </c>
      <c r="B100" t="s">
        <v>17</v>
      </c>
      <c r="C100" t="s">
        <v>48</v>
      </c>
      <c r="D100" t="s">
        <v>43</v>
      </c>
      <c r="E100" t="s">
        <v>33</v>
      </c>
      <c r="F100" t="s">
        <v>32</v>
      </c>
      <c r="G100">
        <v>28</v>
      </c>
      <c r="H100">
        <v>24</v>
      </c>
      <c r="I100">
        <v>4</v>
      </c>
      <c r="J100">
        <v>3</v>
      </c>
      <c r="K100">
        <v>72</v>
      </c>
      <c r="L100">
        <v>12</v>
      </c>
      <c r="M100">
        <v>1.59</v>
      </c>
      <c r="N100">
        <v>45.28</v>
      </c>
      <c r="O100">
        <v>0.1429</v>
      </c>
      <c r="P100" t="s">
        <v>22</v>
      </c>
      <c r="Q100" t="s">
        <v>49</v>
      </c>
    </row>
    <row r="101" spans="1:18" x14ac:dyDescent="0.25">
      <c r="A101" s="1">
        <v>46170</v>
      </c>
      <c r="B101" t="s">
        <v>17</v>
      </c>
      <c r="C101" t="s">
        <v>48</v>
      </c>
      <c r="D101" t="s">
        <v>43</v>
      </c>
      <c r="E101" t="s">
        <v>34</v>
      </c>
      <c r="F101" t="s">
        <v>32</v>
      </c>
      <c r="G101">
        <v>21</v>
      </c>
      <c r="H101">
        <v>18</v>
      </c>
      <c r="I101">
        <v>3</v>
      </c>
      <c r="J101">
        <v>3.5</v>
      </c>
      <c r="K101">
        <v>63</v>
      </c>
      <c r="L101">
        <v>10.5</v>
      </c>
      <c r="M101">
        <v>1.37</v>
      </c>
      <c r="N101">
        <v>45.99</v>
      </c>
      <c r="O101">
        <v>0.1429</v>
      </c>
      <c r="P101" t="s">
        <v>22</v>
      </c>
      <c r="Q101" t="s">
        <v>49</v>
      </c>
    </row>
    <row r="102" spans="1:18" x14ac:dyDescent="0.25">
      <c r="A102" s="1">
        <v>46170</v>
      </c>
      <c r="B102" t="s">
        <v>17</v>
      </c>
      <c r="C102" t="s">
        <v>48</v>
      </c>
      <c r="D102" t="s">
        <v>43</v>
      </c>
      <c r="E102" t="s">
        <v>37</v>
      </c>
      <c r="F102" t="s">
        <v>38</v>
      </c>
      <c r="G102">
        <v>73</v>
      </c>
      <c r="H102">
        <v>66</v>
      </c>
      <c r="I102">
        <v>7</v>
      </c>
      <c r="J102">
        <v>2.4</v>
      </c>
      <c r="K102">
        <v>158.4</v>
      </c>
      <c r="L102">
        <v>16.8</v>
      </c>
      <c r="M102">
        <v>1.52</v>
      </c>
      <c r="N102">
        <v>104.21</v>
      </c>
      <c r="O102">
        <v>9.5899999999999999E-2</v>
      </c>
      <c r="P102" t="s">
        <v>22</v>
      </c>
      <c r="Q102" t="s">
        <v>49</v>
      </c>
    </row>
    <row r="103" spans="1:18" x14ac:dyDescent="0.25">
      <c r="A103" s="1">
        <v>46170</v>
      </c>
      <c r="B103" t="s">
        <v>17</v>
      </c>
      <c r="C103" t="s">
        <v>48</v>
      </c>
      <c r="D103" t="s">
        <v>43</v>
      </c>
      <c r="E103" t="s">
        <v>39</v>
      </c>
      <c r="F103" t="s">
        <v>38</v>
      </c>
      <c r="G103">
        <v>42</v>
      </c>
      <c r="H103">
        <v>41</v>
      </c>
      <c r="I103">
        <v>1</v>
      </c>
      <c r="J103">
        <v>1.8</v>
      </c>
      <c r="K103">
        <v>73.8</v>
      </c>
      <c r="L103">
        <v>1.8</v>
      </c>
      <c r="M103">
        <v>1.03</v>
      </c>
      <c r="N103">
        <v>71.650000000000006</v>
      </c>
      <c r="O103">
        <v>2.3800000000000002E-2</v>
      </c>
      <c r="P103" t="s">
        <v>22</v>
      </c>
      <c r="Q103" t="s">
        <v>49</v>
      </c>
    </row>
    <row r="104" spans="1:18" x14ac:dyDescent="0.25">
      <c r="A104" s="1">
        <v>46170</v>
      </c>
      <c r="B104" t="s">
        <v>17</v>
      </c>
      <c r="C104" t="s">
        <v>48</v>
      </c>
      <c r="D104" t="s">
        <v>43</v>
      </c>
      <c r="E104" t="s">
        <v>40</v>
      </c>
      <c r="F104" t="s">
        <v>41</v>
      </c>
      <c r="G104">
        <v>27</v>
      </c>
      <c r="H104">
        <v>23</v>
      </c>
      <c r="I104">
        <v>4</v>
      </c>
      <c r="J104">
        <v>4.5999999999999996</v>
      </c>
      <c r="K104">
        <v>105.8</v>
      </c>
      <c r="L104">
        <v>18.399999999999999</v>
      </c>
      <c r="M104">
        <v>1.68</v>
      </c>
      <c r="N104">
        <v>62.98</v>
      </c>
      <c r="O104">
        <v>0.14810000000000001</v>
      </c>
      <c r="P104" t="s">
        <v>22</v>
      </c>
      <c r="Q104" t="s">
        <v>49</v>
      </c>
    </row>
    <row r="105" spans="1:18" x14ac:dyDescent="0.25">
      <c r="A105" s="1">
        <v>46170</v>
      </c>
      <c r="B105" t="s">
        <v>17</v>
      </c>
      <c r="C105" t="s">
        <v>48</v>
      </c>
      <c r="D105" t="s">
        <v>43</v>
      </c>
      <c r="E105" t="s">
        <v>42</v>
      </c>
      <c r="F105" t="s">
        <v>41</v>
      </c>
      <c r="G105">
        <v>20</v>
      </c>
      <c r="H105">
        <v>18</v>
      </c>
      <c r="I105">
        <v>2</v>
      </c>
      <c r="J105">
        <v>4.8</v>
      </c>
      <c r="K105">
        <v>86.4</v>
      </c>
      <c r="L105">
        <v>9.6</v>
      </c>
      <c r="M105">
        <v>1.27</v>
      </c>
      <c r="N105">
        <v>68.03</v>
      </c>
      <c r="O105">
        <v>0.1</v>
      </c>
      <c r="P105" t="s">
        <v>22</v>
      </c>
      <c r="Q105" t="s">
        <v>49</v>
      </c>
    </row>
    <row r="106" spans="1:18" x14ac:dyDescent="0.25">
      <c r="A106" s="1">
        <v>46171</v>
      </c>
      <c r="B106" t="s">
        <v>17</v>
      </c>
      <c r="C106" t="s">
        <v>50</v>
      </c>
      <c r="D106" t="s">
        <v>19</v>
      </c>
      <c r="E106" t="s">
        <v>20</v>
      </c>
      <c r="F106" t="s">
        <v>21</v>
      </c>
      <c r="G106">
        <v>81</v>
      </c>
      <c r="H106">
        <v>76</v>
      </c>
      <c r="I106">
        <v>5</v>
      </c>
      <c r="J106">
        <v>2.5</v>
      </c>
      <c r="K106">
        <v>190</v>
      </c>
      <c r="L106">
        <v>12.5</v>
      </c>
      <c r="M106">
        <v>3.84</v>
      </c>
      <c r="N106">
        <v>49.48</v>
      </c>
      <c r="O106">
        <v>6.1699999999999998E-2</v>
      </c>
      <c r="P106" t="s">
        <v>22</v>
      </c>
      <c r="Q106" t="s">
        <v>23</v>
      </c>
      <c r="R106" t="s">
        <v>47</v>
      </c>
    </row>
    <row r="107" spans="1:18" x14ac:dyDescent="0.25">
      <c r="A107" s="1">
        <v>46171</v>
      </c>
      <c r="B107" t="s">
        <v>17</v>
      </c>
      <c r="C107" t="s">
        <v>50</v>
      </c>
      <c r="D107" t="s">
        <v>19</v>
      </c>
      <c r="E107" t="s">
        <v>25</v>
      </c>
      <c r="F107" t="s">
        <v>21</v>
      </c>
      <c r="G107">
        <v>68</v>
      </c>
      <c r="H107">
        <v>49</v>
      </c>
      <c r="I107">
        <v>19</v>
      </c>
      <c r="J107">
        <v>2.8</v>
      </c>
      <c r="K107">
        <v>137.19999999999999</v>
      </c>
      <c r="L107">
        <v>53.2</v>
      </c>
      <c r="M107">
        <v>3.34</v>
      </c>
      <c r="N107">
        <v>41.08</v>
      </c>
      <c r="O107">
        <v>0.27939999999999998</v>
      </c>
      <c r="P107" t="s">
        <v>22</v>
      </c>
      <c r="Q107" t="s">
        <v>23</v>
      </c>
      <c r="R107" t="s">
        <v>24</v>
      </c>
    </row>
    <row r="108" spans="1:18" x14ac:dyDescent="0.25">
      <c r="A108" s="1">
        <v>46171</v>
      </c>
      <c r="B108" t="s">
        <v>17</v>
      </c>
      <c r="C108" t="s">
        <v>50</v>
      </c>
      <c r="D108" t="s">
        <v>19</v>
      </c>
      <c r="E108" t="s">
        <v>26</v>
      </c>
      <c r="F108" t="s">
        <v>21</v>
      </c>
      <c r="G108">
        <v>49</v>
      </c>
      <c r="H108">
        <v>44</v>
      </c>
      <c r="I108">
        <v>5</v>
      </c>
      <c r="J108">
        <v>3.1</v>
      </c>
      <c r="K108">
        <v>136.4</v>
      </c>
      <c r="L108">
        <v>15.5</v>
      </c>
      <c r="M108">
        <v>2.31</v>
      </c>
      <c r="N108">
        <v>59.05</v>
      </c>
      <c r="O108">
        <v>0.10199999999999999</v>
      </c>
      <c r="P108" t="s">
        <v>22</v>
      </c>
      <c r="Q108" t="s">
        <v>23</v>
      </c>
      <c r="R108" t="s">
        <v>47</v>
      </c>
    </row>
    <row r="109" spans="1:18" x14ac:dyDescent="0.25">
      <c r="A109" s="1">
        <v>46171</v>
      </c>
      <c r="B109" t="s">
        <v>17</v>
      </c>
      <c r="C109" t="s">
        <v>50</v>
      </c>
      <c r="D109" t="s">
        <v>19</v>
      </c>
      <c r="E109" t="s">
        <v>27</v>
      </c>
      <c r="F109" t="s">
        <v>28</v>
      </c>
      <c r="G109">
        <v>49</v>
      </c>
      <c r="H109">
        <v>37</v>
      </c>
      <c r="I109">
        <v>12</v>
      </c>
      <c r="J109">
        <v>4.2</v>
      </c>
      <c r="K109">
        <v>155.4</v>
      </c>
      <c r="L109">
        <v>50.4</v>
      </c>
      <c r="M109">
        <v>3.55</v>
      </c>
      <c r="N109">
        <v>43.77</v>
      </c>
      <c r="O109">
        <v>0.24490000000000001</v>
      </c>
      <c r="P109" t="s">
        <v>35</v>
      </c>
      <c r="Q109" t="s">
        <v>23</v>
      </c>
      <c r="R109" t="s">
        <v>24</v>
      </c>
    </row>
    <row r="110" spans="1:18" x14ac:dyDescent="0.25">
      <c r="A110" s="1">
        <v>46171</v>
      </c>
      <c r="B110" t="s">
        <v>17</v>
      </c>
      <c r="C110" t="s">
        <v>50</v>
      </c>
      <c r="D110" t="s">
        <v>19</v>
      </c>
      <c r="E110" t="s">
        <v>29</v>
      </c>
      <c r="F110" t="s">
        <v>28</v>
      </c>
      <c r="G110">
        <v>59</v>
      </c>
      <c r="H110">
        <v>54</v>
      </c>
      <c r="I110">
        <v>5</v>
      </c>
      <c r="J110">
        <v>2.2999999999999998</v>
      </c>
      <c r="K110">
        <v>124.2</v>
      </c>
      <c r="L110">
        <v>11.5</v>
      </c>
      <c r="M110">
        <v>4.38</v>
      </c>
      <c r="N110">
        <v>28.36</v>
      </c>
      <c r="O110">
        <v>8.4699999999999998E-2</v>
      </c>
      <c r="P110" t="s">
        <v>22</v>
      </c>
      <c r="Q110" t="s">
        <v>23</v>
      </c>
      <c r="R110" t="s">
        <v>47</v>
      </c>
    </row>
    <row r="111" spans="1:18" x14ac:dyDescent="0.25">
      <c r="A111" s="1">
        <v>46171</v>
      </c>
      <c r="B111" t="s">
        <v>17</v>
      </c>
      <c r="C111" t="s">
        <v>50</v>
      </c>
      <c r="D111" t="s">
        <v>19</v>
      </c>
      <c r="E111" t="s">
        <v>30</v>
      </c>
      <c r="F111" t="s">
        <v>28</v>
      </c>
      <c r="G111">
        <v>36</v>
      </c>
      <c r="H111">
        <v>33</v>
      </c>
      <c r="I111">
        <v>3</v>
      </c>
      <c r="J111">
        <v>3.8</v>
      </c>
      <c r="K111">
        <v>125.4</v>
      </c>
      <c r="L111">
        <v>11.4</v>
      </c>
      <c r="M111">
        <v>2.84</v>
      </c>
      <c r="N111">
        <v>44.15</v>
      </c>
      <c r="O111">
        <v>8.3299999999999999E-2</v>
      </c>
      <c r="P111" t="s">
        <v>35</v>
      </c>
      <c r="Q111" t="s">
        <v>23</v>
      </c>
      <c r="R111" t="s">
        <v>47</v>
      </c>
    </row>
    <row r="112" spans="1:18" x14ac:dyDescent="0.25">
      <c r="A112" s="1">
        <v>46171</v>
      </c>
      <c r="B112" t="s">
        <v>17</v>
      </c>
      <c r="C112" t="s">
        <v>50</v>
      </c>
      <c r="D112" t="s">
        <v>19</v>
      </c>
      <c r="E112" t="s">
        <v>31</v>
      </c>
      <c r="F112" t="s">
        <v>32</v>
      </c>
      <c r="G112">
        <v>59</v>
      </c>
      <c r="H112">
        <v>48</v>
      </c>
      <c r="I112">
        <v>11</v>
      </c>
      <c r="J112">
        <v>2.9</v>
      </c>
      <c r="K112">
        <v>139.19999999999999</v>
      </c>
      <c r="L112">
        <v>31.9</v>
      </c>
      <c r="M112">
        <v>3.25</v>
      </c>
      <c r="N112">
        <v>42.83</v>
      </c>
      <c r="O112">
        <v>0.18640000000000001</v>
      </c>
      <c r="P112" t="s">
        <v>22</v>
      </c>
      <c r="Q112" t="s">
        <v>23</v>
      </c>
      <c r="R112" t="s">
        <v>24</v>
      </c>
    </row>
    <row r="113" spans="1:18" x14ac:dyDescent="0.25">
      <c r="A113" s="1">
        <v>46171</v>
      </c>
      <c r="B113" t="s">
        <v>17</v>
      </c>
      <c r="C113" t="s">
        <v>50</v>
      </c>
      <c r="D113" t="s">
        <v>19</v>
      </c>
      <c r="E113" t="s">
        <v>33</v>
      </c>
      <c r="F113" t="s">
        <v>32</v>
      </c>
      <c r="G113">
        <v>50</v>
      </c>
      <c r="H113">
        <v>42</v>
      </c>
      <c r="I113">
        <v>8</v>
      </c>
      <c r="J113">
        <v>3</v>
      </c>
      <c r="K113">
        <v>126</v>
      </c>
      <c r="L113">
        <v>24</v>
      </c>
      <c r="M113">
        <v>2.69</v>
      </c>
      <c r="N113">
        <v>46.84</v>
      </c>
      <c r="O113">
        <v>0.16</v>
      </c>
      <c r="P113" t="s">
        <v>22</v>
      </c>
      <c r="Q113" t="s">
        <v>23</v>
      </c>
      <c r="R113" t="s">
        <v>47</v>
      </c>
    </row>
    <row r="114" spans="1:18" x14ac:dyDescent="0.25">
      <c r="A114" s="1">
        <v>46171</v>
      </c>
      <c r="B114" t="s">
        <v>17</v>
      </c>
      <c r="C114" t="s">
        <v>50</v>
      </c>
      <c r="D114" t="s">
        <v>19</v>
      </c>
      <c r="E114" t="s">
        <v>34</v>
      </c>
      <c r="F114" t="s">
        <v>32</v>
      </c>
      <c r="G114">
        <v>36</v>
      </c>
      <c r="H114">
        <v>33</v>
      </c>
      <c r="I114">
        <v>3</v>
      </c>
      <c r="J114">
        <v>3.5</v>
      </c>
      <c r="K114">
        <v>115.5</v>
      </c>
      <c r="L114">
        <v>10.5</v>
      </c>
      <c r="M114">
        <v>2.08</v>
      </c>
      <c r="N114">
        <v>55.53</v>
      </c>
      <c r="O114">
        <v>8.3299999999999999E-2</v>
      </c>
      <c r="P114" t="s">
        <v>22</v>
      </c>
      <c r="Q114" t="s">
        <v>23</v>
      </c>
      <c r="R114" t="s">
        <v>47</v>
      </c>
    </row>
    <row r="115" spans="1:18" x14ac:dyDescent="0.25">
      <c r="A115" s="1">
        <v>46171</v>
      </c>
      <c r="B115" t="s">
        <v>17</v>
      </c>
      <c r="C115" t="s">
        <v>50</v>
      </c>
      <c r="D115" t="s">
        <v>19</v>
      </c>
      <c r="E115" t="s">
        <v>37</v>
      </c>
      <c r="F115" t="s">
        <v>38</v>
      </c>
      <c r="G115">
        <v>134</v>
      </c>
      <c r="H115">
        <v>119</v>
      </c>
      <c r="I115">
        <v>15</v>
      </c>
      <c r="J115">
        <v>2.4</v>
      </c>
      <c r="K115">
        <v>285.60000000000002</v>
      </c>
      <c r="L115">
        <v>36</v>
      </c>
      <c r="M115">
        <v>2.4900000000000002</v>
      </c>
      <c r="N115">
        <v>114.7</v>
      </c>
      <c r="O115">
        <v>0.1119</v>
      </c>
      <c r="P115" t="s">
        <v>22</v>
      </c>
      <c r="Q115" t="s">
        <v>23</v>
      </c>
    </row>
    <row r="116" spans="1:18" x14ac:dyDescent="0.25">
      <c r="A116" s="1">
        <v>46171</v>
      </c>
      <c r="B116" t="s">
        <v>17</v>
      </c>
      <c r="C116" t="s">
        <v>50</v>
      </c>
      <c r="D116" t="s">
        <v>19</v>
      </c>
      <c r="E116" t="s">
        <v>39</v>
      </c>
      <c r="F116" t="s">
        <v>38</v>
      </c>
      <c r="G116">
        <v>69</v>
      </c>
      <c r="H116">
        <v>64</v>
      </c>
      <c r="I116">
        <v>5</v>
      </c>
      <c r="J116">
        <v>1.8</v>
      </c>
      <c r="K116">
        <v>115.2</v>
      </c>
      <c r="L116">
        <v>9</v>
      </c>
      <c r="M116">
        <v>1.45</v>
      </c>
      <c r="N116">
        <v>79.45</v>
      </c>
      <c r="O116">
        <v>7.2499999999999995E-2</v>
      </c>
      <c r="P116" t="s">
        <v>22</v>
      </c>
      <c r="Q116" t="s">
        <v>23</v>
      </c>
    </row>
    <row r="117" spans="1:18" x14ac:dyDescent="0.25">
      <c r="A117" s="1">
        <v>46171</v>
      </c>
      <c r="B117" t="s">
        <v>17</v>
      </c>
      <c r="C117" t="s">
        <v>50</v>
      </c>
      <c r="D117" t="s">
        <v>19</v>
      </c>
      <c r="E117" t="s">
        <v>40</v>
      </c>
      <c r="F117" t="s">
        <v>41</v>
      </c>
      <c r="G117">
        <v>48</v>
      </c>
      <c r="H117">
        <v>44</v>
      </c>
      <c r="I117">
        <v>4</v>
      </c>
      <c r="J117">
        <v>4.5999999999999996</v>
      </c>
      <c r="K117">
        <v>202.4</v>
      </c>
      <c r="L117">
        <v>18.399999999999999</v>
      </c>
      <c r="M117">
        <v>3.14</v>
      </c>
      <c r="N117">
        <v>64.459999999999994</v>
      </c>
      <c r="O117">
        <v>8.3299999999999999E-2</v>
      </c>
      <c r="P117" t="s">
        <v>22</v>
      </c>
      <c r="Q117" t="s">
        <v>23</v>
      </c>
      <c r="R117" t="s">
        <v>47</v>
      </c>
    </row>
    <row r="118" spans="1:18" x14ac:dyDescent="0.25">
      <c r="A118" s="1">
        <v>46171</v>
      </c>
      <c r="B118" t="s">
        <v>17</v>
      </c>
      <c r="C118" t="s">
        <v>50</v>
      </c>
      <c r="D118" t="s">
        <v>19</v>
      </c>
      <c r="E118" t="s">
        <v>42</v>
      </c>
      <c r="F118" t="s">
        <v>41</v>
      </c>
      <c r="G118">
        <v>34</v>
      </c>
      <c r="H118">
        <v>29</v>
      </c>
      <c r="I118">
        <v>5</v>
      </c>
      <c r="J118">
        <v>4.8</v>
      </c>
      <c r="K118">
        <v>139.19999999999999</v>
      </c>
      <c r="L118">
        <v>24</v>
      </c>
      <c r="M118">
        <v>2.21</v>
      </c>
      <c r="N118">
        <v>62.99</v>
      </c>
      <c r="O118">
        <v>0.14710000000000001</v>
      </c>
      <c r="P118" t="s">
        <v>22</v>
      </c>
      <c r="Q118" t="s">
        <v>23</v>
      </c>
      <c r="R118" t="s">
        <v>47</v>
      </c>
    </row>
    <row r="119" spans="1:18" x14ac:dyDescent="0.25">
      <c r="A119" s="1">
        <v>46171</v>
      </c>
      <c r="B119" t="s">
        <v>17</v>
      </c>
      <c r="C119" t="s">
        <v>50</v>
      </c>
      <c r="D119" t="s">
        <v>43</v>
      </c>
      <c r="E119" t="s">
        <v>20</v>
      </c>
      <c r="F119" t="s">
        <v>21</v>
      </c>
      <c r="G119">
        <v>67</v>
      </c>
      <c r="H119">
        <v>63</v>
      </c>
      <c r="I119">
        <v>4</v>
      </c>
      <c r="J119">
        <v>2.5</v>
      </c>
      <c r="K119">
        <v>157.5</v>
      </c>
      <c r="L119">
        <v>10</v>
      </c>
      <c r="M119">
        <v>3.24</v>
      </c>
      <c r="N119">
        <v>48.61</v>
      </c>
      <c r="O119">
        <v>5.9700000000000003E-2</v>
      </c>
      <c r="P119" t="s">
        <v>22</v>
      </c>
      <c r="Q119" t="s">
        <v>23</v>
      </c>
      <c r="R119" t="s">
        <v>47</v>
      </c>
    </row>
    <row r="120" spans="1:18" x14ac:dyDescent="0.25">
      <c r="A120" s="1">
        <v>46171</v>
      </c>
      <c r="B120" t="s">
        <v>17</v>
      </c>
      <c r="C120" t="s">
        <v>50</v>
      </c>
      <c r="D120" t="s">
        <v>43</v>
      </c>
      <c r="E120" t="s">
        <v>25</v>
      </c>
      <c r="F120" t="s">
        <v>21</v>
      </c>
      <c r="G120">
        <v>55</v>
      </c>
      <c r="H120">
        <v>46</v>
      </c>
      <c r="I120">
        <v>9</v>
      </c>
      <c r="J120">
        <v>2.8</v>
      </c>
      <c r="K120">
        <v>128.80000000000001</v>
      </c>
      <c r="L120">
        <v>25.2</v>
      </c>
      <c r="M120">
        <v>2.64</v>
      </c>
      <c r="N120">
        <v>48.79</v>
      </c>
      <c r="O120">
        <v>0.1636</v>
      </c>
      <c r="P120" t="s">
        <v>22</v>
      </c>
      <c r="Q120" t="s">
        <v>23</v>
      </c>
      <c r="R120" t="s">
        <v>47</v>
      </c>
    </row>
    <row r="121" spans="1:18" x14ac:dyDescent="0.25">
      <c r="A121" s="1">
        <v>46171</v>
      </c>
      <c r="B121" t="s">
        <v>17</v>
      </c>
      <c r="C121" t="s">
        <v>50</v>
      </c>
      <c r="D121" t="s">
        <v>43</v>
      </c>
      <c r="E121" t="s">
        <v>26</v>
      </c>
      <c r="F121" t="s">
        <v>21</v>
      </c>
      <c r="G121">
        <v>41</v>
      </c>
      <c r="H121">
        <v>37</v>
      </c>
      <c r="I121">
        <v>4</v>
      </c>
      <c r="J121">
        <v>3.1</v>
      </c>
      <c r="K121">
        <v>114.7</v>
      </c>
      <c r="L121">
        <v>12.4</v>
      </c>
      <c r="M121">
        <v>2.15</v>
      </c>
      <c r="N121">
        <v>53.35</v>
      </c>
      <c r="O121">
        <v>9.7600000000000006E-2</v>
      </c>
      <c r="P121" t="s">
        <v>22</v>
      </c>
      <c r="Q121" t="s">
        <v>23</v>
      </c>
      <c r="R121" t="s">
        <v>47</v>
      </c>
    </row>
    <row r="122" spans="1:18" x14ac:dyDescent="0.25">
      <c r="A122" s="1">
        <v>46171</v>
      </c>
      <c r="B122" t="s">
        <v>17</v>
      </c>
      <c r="C122" t="s">
        <v>50</v>
      </c>
      <c r="D122" t="s">
        <v>43</v>
      </c>
      <c r="E122" t="s">
        <v>27</v>
      </c>
      <c r="F122" t="s">
        <v>28</v>
      </c>
      <c r="G122">
        <v>38</v>
      </c>
      <c r="H122">
        <v>34</v>
      </c>
      <c r="I122">
        <v>4</v>
      </c>
      <c r="J122">
        <v>4.2</v>
      </c>
      <c r="K122">
        <v>142.80000000000001</v>
      </c>
      <c r="L122">
        <v>16.8</v>
      </c>
      <c r="M122">
        <v>2.87</v>
      </c>
      <c r="N122">
        <v>49.76</v>
      </c>
      <c r="O122">
        <v>0.1053</v>
      </c>
      <c r="P122" t="s">
        <v>35</v>
      </c>
      <c r="Q122" t="s">
        <v>23</v>
      </c>
      <c r="R122" t="s">
        <v>47</v>
      </c>
    </row>
    <row r="123" spans="1:18" x14ac:dyDescent="0.25">
      <c r="A123" s="1">
        <v>46171</v>
      </c>
      <c r="B123" t="s">
        <v>17</v>
      </c>
      <c r="C123" t="s">
        <v>50</v>
      </c>
      <c r="D123" t="s">
        <v>43</v>
      </c>
      <c r="E123" t="s">
        <v>29</v>
      </c>
      <c r="F123" t="s">
        <v>28</v>
      </c>
      <c r="G123">
        <v>44</v>
      </c>
      <c r="H123">
        <v>37</v>
      </c>
      <c r="I123">
        <v>7</v>
      </c>
      <c r="J123">
        <v>2.2999999999999998</v>
      </c>
      <c r="K123">
        <v>85.1</v>
      </c>
      <c r="L123">
        <v>16.100000000000001</v>
      </c>
      <c r="M123">
        <v>3.26</v>
      </c>
      <c r="N123">
        <v>26.1</v>
      </c>
      <c r="O123">
        <v>0.15909999999999999</v>
      </c>
      <c r="P123" t="s">
        <v>22</v>
      </c>
      <c r="Q123" t="s">
        <v>23</v>
      </c>
    </row>
    <row r="124" spans="1:18" x14ac:dyDescent="0.25">
      <c r="A124" s="1">
        <v>46171</v>
      </c>
      <c r="B124" t="s">
        <v>17</v>
      </c>
      <c r="C124" t="s">
        <v>50</v>
      </c>
      <c r="D124" t="s">
        <v>43</v>
      </c>
      <c r="E124" t="s">
        <v>30</v>
      </c>
      <c r="F124" t="s">
        <v>28</v>
      </c>
      <c r="G124">
        <v>24</v>
      </c>
      <c r="H124">
        <v>22</v>
      </c>
      <c r="I124">
        <v>2</v>
      </c>
      <c r="J124">
        <v>3.8</v>
      </c>
      <c r="K124">
        <v>83.6</v>
      </c>
      <c r="L124">
        <v>7.6</v>
      </c>
      <c r="M124">
        <v>1.85</v>
      </c>
      <c r="N124">
        <v>45.19</v>
      </c>
      <c r="O124">
        <v>8.3299999999999999E-2</v>
      </c>
      <c r="P124" t="s">
        <v>22</v>
      </c>
      <c r="Q124" t="s">
        <v>23</v>
      </c>
      <c r="R124" t="s">
        <v>47</v>
      </c>
    </row>
    <row r="125" spans="1:18" x14ac:dyDescent="0.25">
      <c r="A125" s="1">
        <v>46171</v>
      </c>
      <c r="B125" t="s">
        <v>17</v>
      </c>
      <c r="C125" t="s">
        <v>50</v>
      </c>
      <c r="D125" t="s">
        <v>43</v>
      </c>
      <c r="E125" t="s">
        <v>31</v>
      </c>
      <c r="F125" t="s">
        <v>32</v>
      </c>
      <c r="G125">
        <v>44</v>
      </c>
      <c r="H125">
        <v>34</v>
      </c>
      <c r="I125">
        <v>10</v>
      </c>
      <c r="J125">
        <v>2.9</v>
      </c>
      <c r="K125">
        <v>98.6</v>
      </c>
      <c r="L125">
        <v>29</v>
      </c>
      <c r="M125">
        <v>2.44</v>
      </c>
      <c r="N125">
        <v>40.409999999999997</v>
      </c>
      <c r="O125">
        <v>0.2273</v>
      </c>
      <c r="P125" t="s">
        <v>22</v>
      </c>
      <c r="Q125" t="s">
        <v>23</v>
      </c>
      <c r="R125" t="s">
        <v>24</v>
      </c>
    </row>
    <row r="126" spans="1:18" x14ac:dyDescent="0.25">
      <c r="A126" s="1">
        <v>46171</v>
      </c>
      <c r="B126" t="s">
        <v>17</v>
      </c>
      <c r="C126" t="s">
        <v>50</v>
      </c>
      <c r="D126" t="s">
        <v>43</v>
      </c>
      <c r="E126" t="s">
        <v>33</v>
      </c>
      <c r="F126" t="s">
        <v>32</v>
      </c>
      <c r="G126">
        <v>36</v>
      </c>
      <c r="H126">
        <v>32</v>
      </c>
      <c r="I126">
        <v>4</v>
      </c>
      <c r="J126">
        <v>3</v>
      </c>
      <c r="K126">
        <v>96</v>
      </c>
      <c r="L126">
        <v>12</v>
      </c>
      <c r="M126">
        <v>1.86</v>
      </c>
      <c r="N126">
        <v>51.61</v>
      </c>
      <c r="O126">
        <v>0.1111</v>
      </c>
      <c r="P126" t="s">
        <v>22</v>
      </c>
      <c r="Q126" t="s">
        <v>23</v>
      </c>
      <c r="R126" t="s">
        <v>47</v>
      </c>
    </row>
    <row r="127" spans="1:18" x14ac:dyDescent="0.25">
      <c r="A127" s="1">
        <v>46171</v>
      </c>
      <c r="B127" t="s">
        <v>17</v>
      </c>
      <c r="C127" t="s">
        <v>50</v>
      </c>
      <c r="D127" t="s">
        <v>43</v>
      </c>
      <c r="E127" t="s">
        <v>34</v>
      </c>
      <c r="F127" t="s">
        <v>32</v>
      </c>
      <c r="G127">
        <v>28</v>
      </c>
      <c r="H127">
        <v>25</v>
      </c>
      <c r="I127">
        <v>3</v>
      </c>
      <c r="J127">
        <v>3.5</v>
      </c>
      <c r="K127">
        <v>87.5</v>
      </c>
      <c r="L127">
        <v>10.5</v>
      </c>
      <c r="M127">
        <v>1.47</v>
      </c>
      <c r="N127">
        <v>59.52</v>
      </c>
      <c r="O127">
        <v>0.1071</v>
      </c>
      <c r="P127" t="s">
        <v>22</v>
      </c>
      <c r="Q127" t="s">
        <v>23</v>
      </c>
      <c r="R127" t="s">
        <v>47</v>
      </c>
    </row>
    <row r="128" spans="1:18" x14ac:dyDescent="0.25">
      <c r="A128" s="1">
        <v>46171</v>
      </c>
      <c r="B128" t="s">
        <v>17</v>
      </c>
      <c r="C128" t="s">
        <v>50</v>
      </c>
      <c r="D128" t="s">
        <v>43</v>
      </c>
      <c r="E128" t="s">
        <v>37</v>
      </c>
      <c r="F128" t="s">
        <v>38</v>
      </c>
      <c r="G128">
        <v>102</v>
      </c>
      <c r="H128">
        <v>95</v>
      </c>
      <c r="I128">
        <v>7</v>
      </c>
      <c r="J128">
        <v>2.4</v>
      </c>
      <c r="K128">
        <v>228</v>
      </c>
      <c r="L128">
        <v>16.8</v>
      </c>
      <c r="M128">
        <v>2.11</v>
      </c>
      <c r="N128">
        <v>108.06</v>
      </c>
      <c r="O128">
        <v>6.8599999999999994E-2</v>
      </c>
      <c r="P128" t="s">
        <v>22</v>
      </c>
      <c r="Q128" t="s">
        <v>23</v>
      </c>
    </row>
    <row r="129" spans="1:18" x14ac:dyDescent="0.25">
      <c r="A129" s="1">
        <v>46171</v>
      </c>
      <c r="B129" t="s">
        <v>17</v>
      </c>
      <c r="C129" t="s">
        <v>50</v>
      </c>
      <c r="D129" t="s">
        <v>43</v>
      </c>
      <c r="E129" t="s">
        <v>39</v>
      </c>
      <c r="F129" t="s">
        <v>38</v>
      </c>
      <c r="G129">
        <v>60</v>
      </c>
      <c r="H129">
        <v>56</v>
      </c>
      <c r="I129">
        <v>4</v>
      </c>
      <c r="J129">
        <v>1.8</v>
      </c>
      <c r="K129">
        <v>100.8</v>
      </c>
      <c r="L129">
        <v>7.2</v>
      </c>
      <c r="M129">
        <v>1.21</v>
      </c>
      <c r="N129">
        <v>83.31</v>
      </c>
      <c r="O129">
        <v>6.6699999999999995E-2</v>
      </c>
      <c r="P129" t="s">
        <v>22</v>
      </c>
      <c r="Q129" t="s">
        <v>23</v>
      </c>
      <c r="R129" t="s">
        <v>47</v>
      </c>
    </row>
    <row r="130" spans="1:18" x14ac:dyDescent="0.25">
      <c r="A130" s="1">
        <v>46171</v>
      </c>
      <c r="B130" t="s">
        <v>17</v>
      </c>
      <c r="C130" t="s">
        <v>50</v>
      </c>
      <c r="D130" t="s">
        <v>43</v>
      </c>
      <c r="E130" t="s">
        <v>40</v>
      </c>
      <c r="F130" t="s">
        <v>41</v>
      </c>
      <c r="G130">
        <v>36</v>
      </c>
      <c r="H130">
        <v>34</v>
      </c>
      <c r="I130">
        <v>2</v>
      </c>
      <c r="J130">
        <v>4.5999999999999996</v>
      </c>
      <c r="K130">
        <v>156.4</v>
      </c>
      <c r="L130">
        <v>9.1999999999999993</v>
      </c>
      <c r="M130">
        <v>2.5099999999999998</v>
      </c>
      <c r="N130">
        <v>62.31</v>
      </c>
      <c r="O130">
        <v>5.5599999999999997E-2</v>
      </c>
      <c r="P130" t="s">
        <v>22</v>
      </c>
      <c r="Q130" t="s">
        <v>23</v>
      </c>
      <c r="R130" t="s">
        <v>47</v>
      </c>
    </row>
    <row r="131" spans="1:18" x14ac:dyDescent="0.25">
      <c r="A131" s="1">
        <v>46171</v>
      </c>
      <c r="B131" t="s">
        <v>17</v>
      </c>
      <c r="C131" t="s">
        <v>50</v>
      </c>
      <c r="D131" t="s">
        <v>43</v>
      </c>
      <c r="E131" t="s">
        <v>42</v>
      </c>
      <c r="F131" t="s">
        <v>41</v>
      </c>
      <c r="G131">
        <v>28</v>
      </c>
      <c r="H131">
        <v>24</v>
      </c>
      <c r="I131">
        <v>4</v>
      </c>
      <c r="J131">
        <v>4.8</v>
      </c>
      <c r="K131">
        <v>115.2</v>
      </c>
      <c r="L131">
        <v>19.2</v>
      </c>
      <c r="M131">
        <v>1.93</v>
      </c>
      <c r="N131">
        <v>59.69</v>
      </c>
      <c r="O131">
        <v>0.1429</v>
      </c>
      <c r="P131" t="s">
        <v>22</v>
      </c>
      <c r="Q131" t="s">
        <v>23</v>
      </c>
      <c r="R131" t="s">
        <v>47</v>
      </c>
    </row>
    <row r="132" spans="1:18" x14ac:dyDescent="0.25">
      <c r="A132" s="1">
        <v>46174</v>
      </c>
      <c r="B132" t="s">
        <v>51</v>
      </c>
      <c r="C132" t="s">
        <v>18</v>
      </c>
      <c r="D132" t="s">
        <v>19</v>
      </c>
      <c r="E132" t="s">
        <v>20</v>
      </c>
      <c r="F132" t="s">
        <v>21</v>
      </c>
      <c r="G132">
        <v>56</v>
      </c>
      <c r="H132">
        <v>45</v>
      </c>
      <c r="I132">
        <v>11</v>
      </c>
      <c r="J132">
        <v>2.5</v>
      </c>
      <c r="K132">
        <v>112.5</v>
      </c>
      <c r="L132">
        <v>27.5</v>
      </c>
      <c r="M132">
        <v>2.62</v>
      </c>
      <c r="N132">
        <v>42.94</v>
      </c>
      <c r="O132">
        <v>0.19639999999999999</v>
      </c>
      <c r="P132" t="s">
        <v>35</v>
      </c>
      <c r="Q132" t="s">
        <v>49</v>
      </c>
      <c r="R132" t="s">
        <v>24</v>
      </c>
    </row>
    <row r="133" spans="1:18" x14ac:dyDescent="0.25">
      <c r="A133" s="1">
        <v>46174</v>
      </c>
      <c r="B133" t="s">
        <v>51</v>
      </c>
      <c r="C133" t="s">
        <v>18</v>
      </c>
      <c r="D133" t="s">
        <v>19</v>
      </c>
      <c r="E133" t="s">
        <v>25</v>
      </c>
      <c r="F133" t="s">
        <v>21</v>
      </c>
      <c r="G133">
        <v>42</v>
      </c>
      <c r="H133">
        <v>35</v>
      </c>
      <c r="I133">
        <v>7</v>
      </c>
      <c r="J133">
        <v>2.8</v>
      </c>
      <c r="K133">
        <v>98</v>
      </c>
      <c r="L133">
        <v>19.600000000000001</v>
      </c>
      <c r="M133">
        <v>2.0099999999999998</v>
      </c>
      <c r="N133">
        <v>48.76</v>
      </c>
      <c r="O133">
        <v>0.16669999999999999</v>
      </c>
      <c r="P133" t="s">
        <v>22</v>
      </c>
      <c r="Q133" t="s">
        <v>49</v>
      </c>
    </row>
    <row r="134" spans="1:18" x14ac:dyDescent="0.25">
      <c r="A134" s="1">
        <v>46174</v>
      </c>
      <c r="B134" t="s">
        <v>51</v>
      </c>
      <c r="C134" t="s">
        <v>18</v>
      </c>
      <c r="D134" t="s">
        <v>19</v>
      </c>
      <c r="E134" t="s">
        <v>26</v>
      </c>
      <c r="F134" t="s">
        <v>21</v>
      </c>
      <c r="G134">
        <v>35</v>
      </c>
      <c r="H134">
        <v>26</v>
      </c>
      <c r="I134">
        <v>9</v>
      </c>
      <c r="J134">
        <v>3.1</v>
      </c>
      <c r="K134">
        <v>80.599999999999994</v>
      </c>
      <c r="L134">
        <v>27.9</v>
      </c>
      <c r="M134">
        <v>1.81</v>
      </c>
      <c r="N134">
        <v>44.53</v>
      </c>
      <c r="O134">
        <v>0.2571</v>
      </c>
      <c r="P134" t="s">
        <v>22</v>
      </c>
      <c r="Q134" t="s">
        <v>49</v>
      </c>
    </row>
    <row r="135" spans="1:18" x14ac:dyDescent="0.25">
      <c r="A135" s="1">
        <v>46174</v>
      </c>
      <c r="B135" t="s">
        <v>51</v>
      </c>
      <c r="C135" t="s">
        <v>18</v>
      </c>
      <c r="D135" t="s">
        <v>19</v>
      </c>
      <c r="E135" t="s">
        <v>27</v>
      </c>
      <c r="F135" t="s">
        <v>28</v>
      </c>
      <c r="G135">
        <v>25</v>
      </c>
      <c r="H135">
        <v>25</v>
      </c>
      <c r="I135">
        <v>0</v>
      </c>
      <c r="J135">
        <v>4.2</v>
      </c>
      <c r="K135">
        <v>105</v>
      </c>
      <c r="L135">
        <v>0</v>
      </c>
      <c r="M135">
        <v>2.09</v>
      </c>
      <c r="N135">
        <v>50.24</v>
      </c>
      <c r="O135">
        <v>0</v>
      </c>
      <c r="P135" t="s">
        <v>22</v>
      </c>
      <c r="Q135" t="s">
        <v>49</v>
      </c>
    </row>
    <row r="136" spans="1:18" x14ac:dyDescent="0.25">
      <c r="A136" s="1">
        <v>46174</v>
      </c>
      <c r="B136" t="s">
        <v>51</v>
      </c>
      <c r="C136" t="s">
        <v>18</v>
      </c>
      <c r="D136" t="s">
        <v>19</v>
      </c>
      <c r="E136" t="s">
        <v>29</v>
      </c>
      <c r="F136" t="s">
        <v>28</v>
      </c>
      <c r="G136">
        <v>34</v>
      </c>
      <c r="H136">
        <v>30</v>
      </c>
      <c r="I136">
        <v>4</v>
      </c>
      <c r="J136">
        <v>2.2999999999999998</v>
      </c>
      <c r="K136">
        <v>69</v>
      </c>
      <c r="L136">
        <v>9.1999999999999993</v>
      </c>
      <c r="M136">
        <v>2.63</v>
      </c>
      <c r="N136">
        <v>26.24</v>
      </c>
      <c r="O136">
        <v>0.1176</v>
      </c>
      <c r="P136" t="s">
        <v>22</v>
      </c>
      <c r="Q136" t="s">
        <v>49</v>
      </c>
    </row>
    <row r="137" spans="1:18" x14ac:dyDescent="0.25">
      <c r="A137" s="1">
        <v>46174</v>
      </c>
      <c r="B137" t="s">
        <v>51</v>
      </c>
      <c r="C137" t="s">
        <v>18</v>
      </c>
      <c r="D137" t="s">
        <v>19</v>
      </c>
      <c r="E137" t="s">
        <v>30</v>
      </c>
      <c r="F137" t="s">
        <v>28</v>
      </c>
      <c r="G137">
        <v>21</v>
      </c>
      <c r="H137">
        <v>19</v>
      </c>
      <c r="I137">
        <v>2</v>
      </c>
      <c r="J137">
        <v>3.8</v>
      </c>
      <c r="K137">
        <v>72.2</v>
      </c>
      <c r="L137">
        <v>7.6</v>
      </c>
      <c r="M137">
        <v>1.54</v>
      </c>
      <c r="N137">
        <v>46.88</v>
      </c>
      <c r="O137">
        <v>9.5200000000000007E-2</v>
      </c>
      <c r="P137" t="s">
        <v>35</v>
      </c>
      <c r="Q137" t="s">
        <v>49</v>
      </c>
      <c r="R137" t="s">
        <v>36</v>
      </c>
    </row>
    <row r="138" spans="1:18" x14ac:dyDescent="0.25">
      <c r="A138" s="1">
        <v>46174</v>
      </c>
      <c r="B138" t="s">
        <v>51</v>
      </c>
      <c r="C138" t="s">
        <v>18</v>
      </c>
      <c r="D138" t="s">
        <v>19</v>
      </c>
      <c r="E138" t="s">
        <v>31</v>
      </c>
      <c r="F138" t="s">
        <v>32</v>
      </c>
      <c r="G138">
        <v>36</v>
      </c>
      <c r="H138">
        <v>27</v>
      </c>
      <c r="I138">
        <v>9</v>
      </c>
      <c r="J138">
        <v>2.9</v>
      </c>
      <c r="K138">
        <v>78.3</v>
      </c>
      <c r="L138">
        <v>26.1</v>
      </c>
      <c r="M138">
        <v>2.08</v>
      </c>
      <c r="N138">
        <v>37.64</v>
      </c>
      <c r="O138">
        <v>0.25</v>
      </c>
      <c r="P138" t="s">
        <v>22</v>
      </c>
      <c r="Q138" t="s">
        <v>49</v>
      </c>
    </row>
    <row r="139" spans="1:18" x14ac:dyDescent="0.25">
      <c r="A139" s="1">
        <v>46174</v>
      </c>
      <c r="B139" t="s">
        <v>51</v>
      </c>
      <c r="C139" t="s">
        <v>18</v>
      </c>
      <c r="D139" t="s">
        <v>19</v>
      </c>
      <c r="E139" t="s">
        <v>33</v>
      </c>
      <c r="F139" t="s">
        <v>32</v>
      </c>
      <c r="G139">
        <v>30</v>
      </c>
      <c r="H139">
        <v>23</v>
      </c>
      <c r="I139">
        <v>7</v>
      </c>
      <c r="J139">
        <v>3</v>
      </c>
      <c r="K139">
        <v>69</v>
      </c>
      <c r="L139">
        <v>21</v>
      </c>
      <c r="M139">
        <v>1.85</v>
      </c>
      <c r="N139">
        <v>37.299999999999997</v>
      </c>
      <c r="O139">
        <v>0.23330000000000001</v>
      </c>
      <c r="P139" t="s">
        <v>22</v>
      </c>
      <c r="Q139" t="s">
        <v>49</v>
      </c>
    </row>
    <row r="140" spans="1:18" x14ac:dyDescent="0.25">
      <c r="A140" s="1">
        <v>46174</v>
      </c>
      <c r="B140" t="s">
        <v>51</v>
      </c>
      <c r="C140" t="s">
        <v>18</v>
      </c>
      <c r="D140" t="s">
        <v>19</v>
      </c>
      <c r="E140" t="s">
        <v>34</v>
      </c>
      <c r="F140" t="s">
        <v>32</v>
      </c>
      <c r="G140">
        <v>23</v>
      </c>
      <c r="H140">
        <v>19</v>
      </c>
      <c r="I140">
        <v>4</v>
      </c>
      <c r="J140">
        <v>3.5</v>
      </c>
      <c r="K140">
        <v>66.5</v>
      </c>
      <c r="L140">
        <v>14</v>
      </c>
      <c r="M140">
        <v>1.31</v>
      </c>
      <c r="N140">
        <v>50.76</v>
      </c>
      <c r="O140">
        <v>0.1739</v>
      </c>
      <c r="P140" t="s">
        <v>22</v>
      </c>
      <c r="Q140" t="s">
        <v>49</v>
      </c>
    </row>
    <row r="141" spans="1:18" x14ac:dyDescent="0.25">
      <c r="A141" s="1">
        <v>46174</v>
      </c>
      <c r="B141" t="s">
        <v>51</v>
      </c>
      <c r="C141" t="s">
        <v>18</v>
      </c>
      <c r="D141" t="s">
        <v>19</v>
      </c>
      <c r="E141" t="s">
        <v>37</v>
      </c>
      <c r="F141" t="s">
        <v>38</v>
      </c>
      <c r="G141">
        <v>87</v>
      </c>
      <c r="H141">
        <v>84</v>
      </c>
      <c r="I141">
        <v>3</v>
      </c>
      <c r="J141">
        <v>2.4</v>
      </c>
      <c r="K141">
        <v>201.6</v>
      </c>
      <c r="L141">
        <v>7.2</v>
      </c>
      <c r="M141">
        <v>1.86</v>
      </c>
      <c r="N141">
        <v>108.39</v>
      </c>
      <c r="O141">
        <v>3.4500000000000003E-2</v>
      </c>
      <c r="P141" t="s">
        <v>22</v>
      </c>
      <c r="Q141" t="s">
        <v>49</v>
      </c>
    </row>
    <row r="142" spans="1:18" x14ac:dyDescent="0.25">
      <c r="A142" s="1">
        <v>46174</v>
      </c>
      <c r="B142" t="s">
        <v>51</v>
      </c>
      <c r="C142" t="s">
        <v>18</v>
      </c>
      <c r="D142" t="s">
        <v>19</v>
      </c>
      <c r="E142" t="s">
        <v>39</v>
      </c>
      <c r="F142" t="s">
        <v>38</v>
      </c>
      <c r="G142">
        <v>47</v>
      </c>
      <c r="H142">
        <v>42</v>
      </c>
      <c r="I142">
        <v>5</v>
      </c>
      <c r="J142">
        <v>1.8</v>
      </c>
      <c r="K142">
        <v>75.599999999999994</v>
      </c>
      <c r="L142">
        <v>9</v>
      </c>
      <c r="M142">
        <v>1.1399999999999999</v>
      </c>
      <c r="N142">
        <v>66.319999999999993</v>
      </c>
      <c r="O142">
        <v>0.10639999999999999</v>
      </c>
      <c r="P142" t="s">
        <v>22</v>
      </c>
      <c r="Q142" t="s">
        <v>49</v>
      </c>
    </row>
    <row r="143" spans="1:18" x14ac:dyDescent="0.25">
      <c r="A143" s="1">
        <v>46174</v>
      </c>
      <c r="B143" t="s">
        <v>51</v>
      </c>
      <c r="C143" t="s">
        <v>18</v>
      </c>
      <c r="D143" t="s">
        <v>19</v>
      </c>
      <c r="E143" t="s">
        <v>40</v>
      </c>
      <c r="F143" t="s">
        <v>41</v>
      </c>
      <c r="G143">
        <v>31</v>
      </c>
      <c r="H143">
        <v>28</v>
      </c>
      <c r="I143">
        <v>3</v>
      </c>
      <c r="J143">
        <v>4.5999999999999996</v>
      </c>
      <c r="K143">
        <v>128.80000000000001</v>
      </c>
      <c r="L143">
        <v>13.8</v>
      </c>
      <c r="M143">
        <v>2.2000000000000002</v>
      </c>
      <c r="N143">
        <v>58.55</v>
      </c>
      <c r="O143">
        <v>9.6799999999999997E-2</v>
      </c>
      <c r="P143" t="s">
        <v>22</v>
      </c>
      <c r="Q143" t="s">
        <v>49</v>
      </c>
    </row>
    <row r="144" spans="1:18" x14ac:dyDescent="0.25">
      <c r="A144" s="1">
        <v>46174</v>
      </c>
      <c r="B144" t="s">
        <v>51</v>
      </c>
      <c r="C144" t="s">
        <v>18</v>
      </c>
      <c r="D144" t="s">
        <v>19</v>
      </c>
      <c r="E144" t="s">
        <v>42</v>
      </c>
      <c r="F144" t="s">
        <v>41</v>
      </c>
      <c r="G144">
        <v>23</v>
      </c>
      <c r="H144">
        <v>18</v>
      </c>
      <c r="I144">
        <v>5</v>
      </c>
      <c r="J144">
        <v>4.8</v>
      </c>
      <c r="K144">
        <v>86.4</v>
      </c>
      <c r="L144">
        <v>24</v>
      </c>
      <c r="M144">
        <v>1.58</v>
      </c>
      <c r="N144">
        <v>54.68</v>
      </c>
      <c r="O144">
        <v>0.21740000000000001</v>
      </c>
      <c r="P144" t="s">
        <v>22</v>
      </c>
      <c r="Q144" t="s">
        <v>49</v>
      </c>
    </row>
    <row r="145" spans="1:18" x14ac:dyDescent="0.25">
      <c r="A145" s="1">
        <v>46174</v>
      </c>
      <c r="B145" t="s">
        <v>51</v>
      </c>
      <c r="C145" t="s">
        <v>18</v>
      </c>
      <c r="D145" t="s">
        <v>43</v>
      </c>
      <c r="E145" t="s">
        <v>20</v>
      </c>
      <c r="F145" t="s">
        <v>21</v>
      </c>
      <c r="G145">
        <v>44</v>
      </c>
      <c r="H145">
        <v>34</v>
      </c>
      <c r="I145">
        <v>10</v>
      </c>
      <c r="J145">
        <v>2.5</v>
      </c>
      <c r="K145">
        <v>85</v>
      </c>
      <c r="L145">
        <v>25</v>
      </c>
      <c r="M145">
        <v>2.29</v>
      </c>
      <c r="N145">
        <v>37.119999999999997</v>
      </c>
      <c r="O145">
        <v>0.2273</v>
      </c>
      <c r="P145" t="s">
        <v>22</v>
      </c>
      <c r="Q145" t="s">
        <v>49</v>
      </c>
      <c r="R145" t="s">
        <v>24</v>
      </c>
    </row>
    <row r="146" spans="1:18" x14ac:dyDescent="0.25">
      <c r="A146" s="1">
        <v>46174</v>
      </c>
      <c r="B146" t="s">
        <v>51</v>
      </c>
      <c r="C146" t="s">
        <v>18</v>
      </c>
      <c r="D146" t="s">
        <v>43</v>
      </c>
      <c r="E146" t="s">
        <v>25</v>
      </c>
      <c r="F146" t="s">
        <v>21</v>
      </c>
      <c r="G146">
        <v>30</v>
      </c>
      <c r="H146">
        <v>29</v>
      </c>
      <c r="I146">
        <v>1</v>
      </c>
      <c r="J146">
        <v>2.8</v>
      </c>
      <c r="K146">
        <v>81.2</v>
      </c>
      <c r="L146">
        <v>2.8</v>
      </c>
      <c r="M146">
        <v>1.47</v>
      </c>
      <c r="N146">
        <v>55.24</v>
      </c>
      <c r="O146">
        <v>3.3300000000000003E-2</v>
      </c>
      <c r="P146" t="s">
        <v>22</v>
      </c>
      <c r="Q146" t="s">
        <v>49</v>
      </c>
    </row>
    <row r="147" spans="1:18" x14ac:dyDescent="0.25">
      <c r="A147" s="1">
        <v>46174</v>
      </c>
      <c r="B147" t="s">
        <v>51</v>
      </c>
      <c r="C147" t="s">
        <v>18</v>
      </c>
      <c r="D147" t="s">
        <v>43</v>
      </c>
      <c r="E147" t="s">
        <v>26</v>
      </c>
      <c r="F147" t="s">
        <v>21</v>
      </c>
      <c r="G147">
        <v>26</v>
      </c>
      <c r="H147">
        <v>21</v>
      </c>
      <c r="I147">
        <v>5</v>
      </c>
      <c r="J147">
        <v>3.1</v>
      </c>
      <c r="K147">
        <v>65.099999999999994</v>
      </c>
      <c r="L147">
        <v>15.5</v>
      </c>
      <c r="M147">
        <v>1.23</v>
      </c>
      <c r="N147">
        <v>52.93</v>
      </c>
      <c r="O147">
        <v>0.1923</v>
      </c>
      <c r="P147" t="s">
        <v>22</v>
      </c>
      <c r="Q147" t="s">
        <v>49</v>
      </c>
    </row>
    <row r="148" spans="1:18" x14ac:dyDescent="0.25">
      <c r="A148" s="1">
        <v>46174</v>
      </c>
      <c r="B148" t="s">
        <v>51</v>
      </c>
      <c r="C148" t="s">
        <v>18</v>
      </c>
      <c r="D148" t="s">
        <v>43</v>
      </c>
      <c r="E148" t="s">
        <v>27</v>
      </c>
      <c r="F148" t="s">
        <v>28</v>
      </c>
      <c r="G148">
        <v>20</v>
      </c>
      <c r="H148">
        <v>17</v>
      </c>
      <c r="I148">
        <v>3</v>
      </c>
      <c r="J148">
        <v>4.2</v>
      </c>
      <c r="K148">
        <v>71.400000000000006</v>
      </c>
      <c r="L148">
        <v>12.6</v>
      </c>
      <c r="M148">
        <v>1.69</v>
      </c>
      <c r="N148">
        <v>42.25</v>
      </c>
      <c r="O148">
        <v>0.15</v>
      </c>
      <c r="P148" t="s">
        <v>22</v>
      </c>
      <c r="Q148" t="s">
        <v>49</v>
      </c>
    </row>
    <row r="149" spans="1:18" x14ac:dyDescent="0.25">
      <c r="A149" s="1">
        <v>46174</v>
      </c>
      <c r="B149" t="s">
        <v>51</v>
      </c>
      <c r="C149" t="s">
        <v>18</v>
      </c>
      <c r="D149" t="s">
        <v>43</v>
      </c>
      <c r="E149" t="s">
        <v>29</v>
      </c>
      <c r="F149" t="s">
        <v>28</v>
      </c>
      <c r="G149">
        <v>31</v>
      </c>
      <c r="H149">
        <v>26</v>
      </c>
      <c r="I149">
        <v>5</v>
      </c>
      <c r="J149">
        <v>2.2999999999999998</v>
      </c>
      <c r="K149">
        <v>59.8</v>
      </c>
      <c r="L149">
        <v>11.5</v>
      </c>
      <c r="M149">
        <v>2.2999999999999998</v>
      </c>
      <c r="N149">
        <v>26</v>
      </c>
      <c r="O149">
        <v>0.1613</v>
      </c>
      <c r="P149" t="s">
        <v>22</v>
      </c>
      <c r="Q149" t="s">
        <v>49</v>
      </c>
    </row>
    <row r="150" spans="1:18" x14ac:dyDescent="0.25">
      <c r="A150" s="1">
        <v>46174</v>
      </c>
      <c r="B150" t="s">
        <v>51</v>
      </c>
      <c r="C150" t="s">
        <v>18</v>
      </c>
      <c r="D150" t="s">
        <v>43</v>
      </c>
      <c r="E150" t="s">
        <v>30</v>
      </c>
      <c r="F150" t="s">
        <v>28</v>
      </c>
      <c r="G150">
        <v>17</v>
      </c>
      <c r="H150">
        <v>12</v>
      </c>
      <c r="I150">
        <v>5</v>
      </c>
      <c r="J150">
        <v>3.8</v>
      </c>
      <c r="K150">
        <v>45.6</v>
      </c>
      <c r="L150">
        <v>19</v>
      </c>
      <c r="M150">
        <v>1.46</v>
      </c>
      <c r="N150">
        <v>31.23</v>
      </c>
      <c r="O150">
        <v>0.29409999999999997</v>
      </c>
      <c r="P150" t="s">
        <v>22</v>
      </c>
      <c r="Q150" t="s">
        <v>49</v>
      </c>
    </row>
    <row r="151" spans="1:18" x14ac:dyDescent="0.25">
      <c r="A151" s="1">
        <v>46174</v>
      </c>
      <c r="B151" t="s">
        <v>51</v>
      </c>
      <c r="C151" t="s">
        <v>18</v>
      </c>
      <c r="D151" t="s">
        <v>43</v>
      </c>
      <c r="E151" t="s">
        <v>31</v>
      </c>
      <c r="F151" t="s">
        <v>32</v>
      </c>
      <c r="G151">
        <v>29</v>
      </c>
      <c r="H151">
        <v>24</v>
      </c>
      <c r="I151">
        <v>5</v>
      </c>
      <c r="J151">
        <v>2.9</v>
      </c>
      <c r="K151">
        <v>69.599999999999994</v>
      </c>
      <c r="L151">
        <v>14.5</v>
      </c>
      <c r="M151">
        <v>1.69</v>
      </c>
      <c r="N151">
        <v>41.18</v>
      </c>
      <c r="O151">
        <v>0.1724</v>
      </c>
      <c r="P151" t="s">
        <v>22</v>
      </c>
      <c r="Q151" t="s">
        <v>49</v>
      </c>
    </row>
    <row r="152" spans="1:18" x14ac:dyDescent="0.25">
      <c r="A152" s="1">
        <v>46174</v>
      </c>
      <c r="B152" t="s">
        <v>51</v>
      </c>
      <c r="C152" t="s">
        <v>18</v>
      </c>
      <c r="D152" t="s">
        <v>43</v>
      </c>
      <c r="E152" t="s">
        <v>33</v>
      </c>
      <c r="F152" t="s">
        <v>32</v>
      </c>
      <c r="G152">
        <v>24</v>
      </c>
      <c r="H152">
        <v>18</v>
      </c>
      <c r="I152">
        <v>6</v>
      </c>
      <c r="J152">
        <v>3</v>
      </c>
      <c r="K152">
        <v>54</v>
      </c>
      <c r="L152">
        <v>18</v>
      </c>
      <c r="M152">
        <v>1.32</v>
      </c>
      <c r="N152">
        <v>40.909999999999997</v>
      </c>
      <c r="O152">
        <v>0.25</v>
      </c>
      <c r="P152" t="s">
        <v>22</v>
      </c>
      <c r="Q152" t="s">
        <v>49</v>
      </c>
    </row>
    <row r="153" spans="1:18" x14ac:dyDescent="0.25">
      <c r="A153" s="1">
        <v>46174</v>
      </c>
      <c r="B153" t="s">
        <v>51</v>
      </c>
      <c r="C153" t="s">
        <v>18</v>
      </c>
      <c r="D153" t="s">
        <v>43</v>
      </c>
      <c r="E153" t="s">
        <v>34</v>
      </c>
      <c r="F153" t="s">
        <v>32</v>
      </c>
      <c r="G153">
        <v>18</v>
      </c>
      <c r="H153">
        <v>16</v>
      </c>
      <c r="I153">
        <v>2</v>
      </c>
      <c r="J153">
        <v>3.5</v>
      </c>
      <c r="K153">
        <v>56</v>
      </c>
      <c r="L153">
        <v>7</v>
      </c>
      <c r="M153">
        <v>1.0900000000000001</v>
      </c>
      <c r="N153">
        <v>51.38</v>
      </c>
      <c r="O153">
        <v>0.1111</v>
      </c>
      <c r="P153" t="s">
        <v>22</v>
      </c>
      <c r="Q153" t="s">
        <v>49</v>
      </c>
    </row>
    <row r="154" spans="1:18" x14ac:dyDescent="0.25">
      <c r="A154" s="1">
        <v>46174</v>
      </c>
      <c r="B154" t="s">
        <v>51</v>
      </c>
      <c r="C154" t="s">
        <v>18</v>
      </c>
      <c r="D154" t="s">
        <v>43</v>
      </c>
      <c r="E154" t="s">
        <v>37</v>
      </c>
      <c r="F154" t="s">
        <v>38</v>
      </c>
      <c r="G154">
        <v>68</v>
      </c>
      <c r="H154">
        <v>65</v>
      </c>
      <c r="I154">
        <v>3</v>
      </c>
      <c r="J154">
        <v>2.4</v>
      </c>
      <c r="K154">
        <v>156</v>
      </c>
      <c r="L154">
        <v>7.2</v>
      </c>
      <c r="M154">
        <v>1.37</v>
      </c>
      <c r="N154">
        <v>113.87</v>
      </c>
      <c r="O154">
        <v>4.41E-2</v>
      </c>
      <c r="P154" t="s">
        <v>22</v>
      </c>
      <c r="Q154" t="s">
        <v>49</v>
      </c>
    </row>
    <row r="155" spans="1:18" x14ac:dyDescent="0.25">
      <c r="A155" s="1">
        <v>46174</v>
      </c>
      <c r="B155" t="s">
        <v>51</v>
      </c>
      <c r="C155" t="s">
        <v>18</v>
      </c>
      <c r="D155" t="s">
        <v>43</v>
      </c>
      <c r="E155" t="s">
        <v>39</v>
      </c>
      <c r="F155" t="s">
        <v>38</v>
      </c>
      <c r="G155">
        <v>33</v>
      </c>
      <c r="H155">
        <v>30</v>
      </c>
      <c r="I155">
        <v>3</v>
      </c>
      <c r="J155">
        <v>1.8</v>
      </c>
      <c r="K155">
        <v>54</v>
      </c>
      <c r="L155">
        <v>5.4</v>
      </c>
      <c r="M155">
        <v>0.68</v>
      </c>
      <c r="N155">
        <v>79.41</v>
      </c>
      <c r="O155">
        <v>9.0899999999999995E-2</v>
      </c>
      <c r="P155" t="s">
        <v>22</v>
      </c>
      <c r="Q155" t="s">
        <v>49</v>
      </c>
    </row>
    <row r="156" spans="1:18" x14ac:dyDescent="0.25">
      <c r="A156" s="1">
        <v>46174</v>
      </c>
      <c r="B156" t="s">
        <v>51</v>
      </c>
      <c r="C156" t="s">
        <v>18</v>
      </c>
      <c r="D156" t="s">
        <v>43</v>
      </c>
      <c r="E156" t="s">
        <v>40</v>
      </c>
      <c r="F156" t="s">
        <v>41</v>
      </c>
      <c r="G156">
        <v>23</v>
      </c>
      <c r="H156">
        <v>21</v>
      </c>
      <c r="I156">
        <v>2</v>
      </c>
      <c r="J156">
        <v>4.5999999999999996</v>
      </c>
      <c r="K156">
        <v>96.6</v>
      </c>
      <c r="L156">
        <v>9.1999999999999993</v>
      </c>
      <c r="M156">
        <v>1.66</v>
      </c>
      <c r="N156">
        <v>58.19</v>
      </c>
      <c r="O156">
        <v>8.6999999999999994E-2</v>
      </c>
      <c r="P156" t="s">
        <v>22</v>
      </c>
      <c r="Q156" t="s">
        <v>49</v>
      </c>
    </row>
    <row r="157" spans="1:18" x14ac:dyDescent="0.25">
      <c r="A157" s="1">
        <v>46174</v>
      </c>
      <c r="B157" t="s">
        <v>51</v>
      </c>
      <c r="C157" t="s">
        <v>18</v>
      </c>
      <c r="D157" t="s">
        <v>43</v>
      </c>
      <c r="E157" t="s">
        <v>42</v>
      </c>
      <c r="F157" t="s">
        <v>41</v>
      </c>
      <c r="G157">
        <v>16</v>
      </c>
      <c r="H157">
        <v>14</v>
      </c>
      <c r="I157">
        <v>2</v>
      </c>
      <c r="J157">
        <v>4.8</v>
      </c>
      <c r="K157">
        <v>67.2</v>
      </c>
      <c r="L157">
        <v>9.6</v>
      </c>
      <c r="M157">
        <v>1.23</v>
      </c>
      <c r="N157">
        <v>54.63</v>
      </c>
      <c r="O157">
        <v>0.125</v>
      </c>
      <c r="P157" t="s">
        <v>22</v>
      </c>
      <c r="Q157" t="s">
        <v>49</v>
      </c>
    </row>
    <row r="158" spans="1:18" x14ac:dyDescent="0.25">
      <c r="A158" s="1">
        <v>46175</v>
      </c>
      <c r="B158" t="s">
        <v>51</v>
      </c>
      <c r="C158" t="s">
        <v>44</v>
      </c>
      <c r="D158" t="s">
        <v>19</v>
      </c>
      <c r="E158" t="s">
        <v>20</v>
      </c>
      <c r="F158" t="s">
        <v>21</v>
      </c>
      <c r="G158">
        <v>57</v>
      </c>
      <c r="H158">
        <v>46</v>
      </c>
      <c r="I158">
        <v>11</v>
      </c>
      <c r="J158">
        <v>2.5</v>
      </c>
      <c r="K158">
        <v>115</v>
      </c>
      <c r="L158">
        <v>27.5</v>
      </c>
      <c r="M158">
        <v>2.67</v>
      </c>
      <c r="N158">
        <v>43.07</v>
      </c>
      <c r="O158">
        <v>0.193</v>
      </c>
      <c r="P158" t="s">
        <v>22</v>
      </c>
      <c r="Q158" t="s">
        <v>52</v>
      </c>
      <c r="R158" t="s">
        <v>24</v>
      </c>
    </row>
    <row r="159" spans="1:18" x14ac:dyDescent="0.25">
      <c r="A159" s="1">
        <v>46175</v>
      </c>
      <c r="B159" t="s">
        <v>51</v>
      </c>
      <c r="C159" t="s">
        <v>44</v>
      </c>
      <c r="D159" t="s">
        <v>19</v>
      </c>
      <c r="E159" t="s">
        <v>25</v>
      </c>
      <c r="F159" t="s">
        <v>21</v>
      </c>
      <c r="G159">
        <v>43</v>
      </c>
      <c r="H159">
        <v>34</v>
      </c>
      <c r="I159">
        <v>9</v>
      </c>
      <c r="J159">
        <v>2.8</v>
      </c>
      <c r="K159">
        <v>95.2</v>
      </c>
      <c r="L159">
        <v>25.2</v>
      </c>
      <c r="M159">
        <v>2.15</v>
      </c>
      <c r="N159">
        <v>44.28</v>
      </c>
      <c r="O159">
        <v>0.20930000000000001</v>
      </c>
      <c r="P159" t="s">
        <v>22</v>
      </c>
      <c r="Q159" t="s">
        <v>52</v>
      </c>
    </row>
    <row r="160" spans="1:18" x14ac:dyDescent="0.25">
      <c r="A160" s="1">
        <v>46175</v>
      </c>
      <c r="B160" t="s">
        <v>51</v>
      </c>
      <c r="C160" t="s">
        <v>44</v>
      </c>
      <c r="D160" t="s">
        <v>19</v>
      </c>
      <c r="E160" t="s">
        <v>26</v>
      </c>
      <c r="F160" t="s">
        <v>21</v>
      </c>
      <c r="G160">
        <v>40</v>
      </c>
      <c r="H160">
        <v>32</v>
      </c>
      <c r="I160">
        <v>8</v>
      </c>
      <c r="J160">
        <v>3.1</v>
      </c>
      <c r="K160">
        <v>99.2</v>
      </c>
      <c r="L160">
        <v>24.8</v>
      </c>
      <c r="M160">
        <v>2.06</v>
      </c>
      <c r="N160">
        <v>48.16</v>
      </c>
      <c r="O160">
        <v>0.2</v>
      </c>
      <c r="P160" t="s">
        <v>22</v>
      </c>
      <c r="Q160" t="s">
        <v>52</v>
      </c>
    </row>
    <row r="161" spans="1:18" x14ac:dyDescent="0.25">
      <c r="A161" s="1">
        <v>46175</v>
      </c>
      <c r="B161" t="s">
        <v>51</v>
      </c>
      <c r="C161" t="s">
        <v>44</v>
      </c>
      <c r="D161" t="s">
        <v>19</v>
      </c>
      <c r="E161" t="s">
        <v>27</v>
      </c>
      <c r="F161" t="s">
        <v>28</v>
      </c>
      <c r="G161">
        <v>32</v>
      </c>
      <c r="H161">
        <v>26</v>
      </c>
      <c r="I161">
        <v>6</v>
      </c>
      <c r="J161">
        <v>4.2</v>
      </c>
      <c r="K161">
        <v>109.2</v>
      </c>
      <c r="L161">
        <v>25.2</v>
      </c>
      <c r="M161">
        <v>2.5499999999999998</v>
      </c>
      <c r="N161">
        <v>42.82</v>
      </c>
      <c r="O161">
        <v>0.1875</v>
      </c>
      <c r="P161" t="s">
        <v>22</v>
      </c>
      <c r="Q161" t="s">
        <v>52</v>
      </c>
    </row>
    <row r="162" spans="1:18" x14ac:dyDescent="0.25">
      <c r="A162" s="1">
        <v>46175</v>
      </c>
      <c r="B162" t="s">
        <v>51</v>
      </c>
      <c r="C162" t="s">
        <v>44</v>
      </c>
      <c r="D162" t="s">
        <v>19</v>
      </c>
      <c r="E162" t="s">
        <v>29</v>
      </c>
      <c r="F162" t="s">
        <v>28</v>
      </c>
      <c r="G162">
        <v>41</v>
      </c>
      <c r="H162">
        <v>34</v>
      </c>
      <c r="I162">
        <v>7</v>
      </c>
      <c r="J162">
        <v>2.2999999999999998</v>
      </c>
      <c r="K162">
        <v>78.2</v>
      </c>
      <c r="L162">
        <v>16.100000000000001</v>
      </c>
      <c r="M162">
        <v>2.98</v>
      </c>
      <c r="N162">
        <v>26.24</v>
      </c>
      <c r="O162">
        <v>0.17069999999999999</v>
      </c>
      <c r="P162" t="s">
        <v>22</v>
      </c>
      <c r="Q162" t="s">
        <v>52</v>
      </c>
    </row>
    <row r="163" spans="1:18" x14ac:dyDescent="0.25">
      <c r="A163" s="1">
        <v>46175</v>
      </c>
      <c r="B163" t="s">
        <v>51</v>
      </c>
      <c r="C163" t="s">
        <v>44</v>
      </c>
      <c r="D163" t="s">
        <v>19</v>
      </c>
      <c r="E163" t="s">
        <v>30</v>
      </c>
      <c r="F163" t="s">
        <v>28</v>
      </c>
      <c r="G163">
        <v>23</v>
      </c>
      <c r="H163">
        <v>18</v>
      </c>
      <c r="I163">
        <v>5</v>
      </c>
      <c r="J163">
        <v>3.8</v>
      </c>
      <c r="K163">
        <v>68.400000000000006</v>
      </c>
      <c r="L163">
        <v>19</v>
      </c>
      <c r="M163">
        <v>1.91</v>
      </c>
      <c r="N163">
        <v>35.81</v>
      </c>
      <c r="O163">
        <v>0.21740000000000001</v>
      </c>
      <c r="P163" t="s">
        <v>22</v>
      </c>
      <c r="Q163" t="s">
        <v>52</v>
      </c>
    </row>
    <row r="164" spans="1:18" x14ac:dyDescent="0.25">
      <c r="A164" s="1">
        <v>46175</v>
      </c>
      <c r="B164" t="s">
        <v>51</v>
      </c>
      <c r="C164" t="s">
        <v>44</v>
      </c>
      <c r="D164" t="s">
        <v>19</v>
      </c>
      <c r="E164" t="s">
        <v>31</v>
      </c>
      <c r="F164" t="s">
        <v>32</v>
      </c>
      <c r="G164">
        <v>36</v>
      </c>
      <c r="H164">
        <v>34</v>
      </c>
      <c r="I164">
        <v>2</v>
      </c>
      <c r="J164">
        <v>2.9</v>
      </c>
      <c r="K164">
        <v>98.6</v>
      </c>
      <c r="L164">
        <v>5.8</v>
      </c>
      <c r="M164">
        <v>1.87</v>
      </c>
      <c r="N164">
        <v>52.73</v>
      </c>
      <c r="O164">
        <v>5.5599999999999997E-2</v>
      </c>
      <c r="P164" t="s">
        <v>22</v>
      </c>
      <c r="Q164" t="s">
        <v>52</v>
      </c>
    </row>
    <row r="165" spans="1:18" x14ac:dyDescent="0.25">
      <c r="A165" s="1">
        <v>46175</v>
      </c>
      <c r="B165" t="s">
        <v>51</v>
      </c>
      <c r="C165" t="s">
        <v>44</v>
      </c>
      <c r="D165" t="s">
        <v>19</v>
      </c>
      <c r="E165" t="s">
        <v>33</v>
      </c>
      <c r="F165" t="s">
        <v>32</v>
      </c>
      <c r="G165">
        <v>33</v>
      </c>
      <c r="H165">
        <v>26</v>
      </c>
      <c r="I165">
        <v>7</v>
      </c>
      <c r="J165">
        <v>3</v>
      </c>
      <c r="K165">
        <v>78</v>
      </c>
      <c r="L165">
        <v>21</v>
      </c>
      <c r="M165">
        <v>2</v>
      </c>
      <c r="N165">
        <v>39</v>
      </c>
      <c r="O165">
        <v>0.21210000000000001</v>
      </c>
      <c r="P165" t="s">
        <v>22</v>
      </c>
      <c r="Q165" t="s">
        <v>52</v>
      </c>
    </row>
    <row r="166" spans="1:18" x14ac:dyDescent="0.25">
      <c r="A166" s="1">
        <v>46175</v>
      </c>
      <c r="B166" t="s">
        <v>51</v>
      </c>
      <c r="C166" t="s">
        <v>44</v>
      </c>
      <c r="D166" t="s">
        <v>19</v>
      </c>
      <c r="E166" t="s">
        <v>34</v>
      </c>
      <c r="F166" t="s">
        <v>32</v>
      </c>
      <c r="G166">
        <v>27</v>
      </c>
      <c r="H166">
        <v>23</v>
      </c>
      <c r="I166">
        <v>4</v>
      </c>
      <c r="J166">
        <v>3.5</v>
      </c>
      <c r="K166">
        <v>80.5</v>
      </c>
      <c r="L166">
        <v>14</v>
      </c>
      <c r="M166">
        <v>1.64</v>
      </c>
      <c r="N166">
        <v>49.09</v>
      </c>
      <c r="O166">
        <v>0.14810000000000001</v>
      </c>
      <c r="P166" t="s">
        <v>22</v>
      </c>
      <c r="Q166" t="s">
        <v>52</v>
      </c>
    </row>
    <row r="167" spans="1:18" x14ac:dyDescent="0.25">
      <c r="A167" s="1">
        <v>46175</v>
      </c>
      <c r="B167" t="s">
        <v>51</v>
      </c>
      <c r="C167" t="s">
        <v>44</v>
      </c>
      <c r="D167" t="s">
        <v>19</v>
      </c>
      <c r="E167" t="s">
        <v>37</v>
      </c>
      <c r="F167" t="s">
        <v>38</v>
      </c>
      <c r="G167">
        <v>94</v>
      </c>
      <c r="H167">
        <v>86</v>
      </c>
      <c r="I167">
        <v>8</v>
      </c>
      <c r="J167">
        <v>2.4</v>
      </c>
      <c r="K167">
        <v>206.4</v>
      </c>
      <c r="L167">
        <v>19.2</v>
      </c>
      <c r="M167">
        <v>1.87</v>
      </c>
      <c r="N167">
        <v>110.37</v>
      </c>
      <c r="O167">
        <v>8.5099999999999995E-2</v>
      </c>
      <c r="P167" t="s">
        <v>22</v>
      </c>
      <c r="Q167" t="s">
        <v>52</v>
      </c>
    </row>
    <row r="168" spans="1:18" x14ac:dyDescent="0.25">
      <c r="A168" s="1">
        <v>46175</v>
      </c>
      <c r="B168" t="s">
        <v>51</v>
      </c>
      <c r="C168" t="s">
        <v>44</v>
      </c>
      <c r="D168" t="s">
        <v>19</v>
      </c>
      <c r="E168" t="s">
        <v>39</v>
      </c>
      <c r="F168" t="s">
        <v>38</v>
      </c>
      <c r="G168">
        <v>57</v>
      </c>
      <c r="H168">
        <v>49</v>
      </c>
      <c r="I168">
        <v>8</v>
      </c>
      <c r="J168">
        <v>1.8</v>
      </c>
      <c r="K168">
        <v>88.2</v>
      </c>
      <c r="L168">
        <v>14.4</v>
      </c>
      <c r="M168">
        <v>1.26</v>
      </c>
      <c r="N168">
        <v>70</v>
      </c>
      <c r="O168">
        <v>0.1404</v>
      </c>
      <c r="P168" t="s">
        <v>35</v>
      </c>
      <c r="Q168" t="s">
        <v>52</v>
      </c>
      <c r="R168" t="s">
        <v>36</v>
      </c>
    </row>
    <row r="169" spans="1:18" x14ac:dyDescent="0.25">
      <c r="A169" s="1">
        <v>46175</v>
      </c>
      <c r="B169" t="s">
        <v>51</v>
      </c>
      <c r="C169" t="s">
        <v>44</v>
      </c>
      <c r="D169" t="s">
        <v>19</v>
      </c>
      <c r="E169" t="s">
        <v>40</v>
      </c>
      <c r="F169" t="s">
        <v>41</v>
      </c>
      <c r="G169">
        <v>36</v>
      </c>
      <c r="H169">
        <v>32</v>
      </c>
      <c r="I169">
        <v>4</v>
      </c>
      <c r="J169">
        <v>4.5999999999999996</v>
      </c>
      <c r="K169">
        <v>147.19999999999999</v>
      </c>
      <c r="L169">
        <v>18.399999999999999</v>
      </c>
      <c r="M169">
        <v>2.27</v>
      </c>
      <c r="N169">
        <v>64.849999999999994</v>
      </c>
      <c r="O169">
        <v>0.1111</v>
      </c>
      <c r="P169" t="s">
        <v>22</v>
      </c>
      <c r="Q169" t="s">
        <v>52</v>
      </c>
    </row>
    <row r="170" spans="1:18" x14ac:dyDescent="0.25">
      <c r="A170" s="1">
        <v>46175</v>
      </c>
      <c r="B170" t="s">
        <v>51</v>
      </c>
      <c r="C170" t="s">
        <v>44</v>
      </c>
      <c r="D170" t="s">
        <v>19</v>
      </c>
      <c r="E170" t="s">
        <v>42</v>
      </c>
      <c r="F170" t="s">
        <v>41</v>
      </c>
      <c r="G170">
        <v>25</v>
      </c>
      <c r="H170">
        <v>19</v>
      </c>
      <c r="I170">
        <v>6</v>
      </c>
      <c r="J170">
        <v>4.8</v>
      </c>
      <c r="K170">
        <v>91.2</v>
      </c>
      <c r="L170">
        <v>28.8</v>
      </c>
      <c r="M170">
        <v>1.6</v>
      </c>
      <c r="N170">
        <v>57</v>
      </c>
      <c r="O170">
        <v>0.24</v>
      </c>
      <c r="P170" t="s">
        <v>22</v>
      </c>
      <c r="Q170" t="s">
        <v>52</v>
      </c>
    </row>
    <row r="171" spans="1:18" x14ac:dyDescent="0.25">
      <c r="A171" s="1">
        <v>46175</v>
      </c>
      <c r="B171" t="s">
        <v>51</v>
      </c>
      <c r="C171" t="s">
        <v>44</v>
      </c>
      <c r="D171" t="s">
        <v>43</v>
      </c>
      <c r="E171" t="s">
        <v>20</v>
      </c>
      <c r="F171" t="s">
        <v>21</v>
      </c>
      <c r="G171">
        <v>43</v>
      </c>
      <c r="H171">
        <v>39</v>
      </c>
      <c r="I171">
        <v>4</v>
      </c>
      <c r="J171">
        <v>2.5</v>
      </c>
      <c r="K171">
        <v>97.5</v>
      </c>
      <c r="L171">
        <v>10</v>
      </c>
      <c r="M171">
        <v>2.16</v>
      </c>
      <c r="N171">
        <v>45.14</v>
      </c>
      <c r="O171">
        <v>9.2999999999999999E-2</v>
      </c>
      <c r="P171" t="s">
        <v>22</v>
      </c>
      <c r="Q171" t="s">
        <v>52</v>
      </c>
    </row>
    <row r="172" spans="1:18" x14ac:dyDescent="0.25">
      <c r="A172" s="1">
        <v>46175</v>
      </c>
      <c r="B172" t="s">
        <v>51</v>
      </c>
      <c r="C172" t="s">
        <v>44</v>
      </c>
      <c r="D172" t="s">
        <v>43</v>
      </c>
      <c r="E172" t="s">
        <v>25</v>
      </c>
      <c r="F172" t="s">
        <v>21</v>
      </c>
      <c r="G172">
        <v>34</v>
      </c>
      <c r="H172">
        <v>32</v>
      </c>
      <c r="I172">
        <v>2</v>
      </c>
      <c r="J172">
        <v>2.8</v>
      </c>
      <c r="K172">
        <v>89.6</v>
      </c>
      <c r="L172">
        <v>5.6</v>
      </c>
      <c r="M172">
        <v>1.79</v>
      </c>
      <c r="N172">
        <v>50.06</v>
      </c>
      <c r="O172">
        <v>5.8799999999999998E-2</v>
      </c>
      <c r="P172" t="s">
        <v>22</v>
      </c>
      <c r="Q172" t="s">
        <v>52</v>
      </c>
    </row>
    <row r="173" spans="1:18" x14ac:dyDescent="0.25">
      <c r="A173" s="1">
        <v>46175</v>
      </c>
      <c r="B173" t="s">
        <v>51</v>
      </c>
      <c r="C173" t="s">
        <v>44</v>
      </c>
      <c r="D173" t="s">
        <v>43</v>
      </c>
      <c r="E173" t="s">
        <v>26</v>
      </c>
      <c r="F173" t="s">
        <v>21</v>
      </c>
      <c r="G173">
        <v>30</v>
      </c>
      <c r="H173">
        <v>27</v>
      </c>
      <c r="I173">
        <v>3</v>
      </c>
      <c r="J173">
        <v>3.1</v>
      </c>
      <c r="K173">
        <v>83.7</v>
      </c>
      <c r="L173">
        <v>9.3000000000000007</v>
      </c>
      <c r="M173">
        <v>1.64</v>
      </c>
      <c r="N173">
        <v>51.04</v>
      </c>
      <c r="O173">
        <v>0.1</v>
      </c>
      <c r="P173" t="s">
        <v>22</v>
      </c>
      <c r="Q173" t="s">
        <v>52</v>
      </c>
    </row>
    <row r="174" spans="1:18" x14ac:dyDescent="0.25">
      <c r="A174" s="1">
        <v>46175</v>
      </c>
      <c r="B174" t="s">
        <v>51</v>
      </c>
      <c r="C174" t="s">
        <v>44</v>
      </c>
      <c r="D174" t="s">
        <v>43</v>
      </c>
      <c r="E174" t="s">
        <v>27</v>
      </c>
      <c r="F174" t="s">
        <v>28</v>
      </c>
      <c r="G174">
        <v>25</v>
      </c>
      <c r="H174">
        <v>22</v>
      </c>
      <c r="I174">
        <v>3</v>
      </c>
      <c r="J174">
        <v>4.2</v>
      </c>
      <c r="K174">
        <v>92.4</v>
      </c>
      <c r="L174">
        <v>12.6</v>
      </c>
      <c r="M174">
        <v>1.93</v>
      </c>
      <c r="N174">
        <v>47.88</v>
      </c>
      <c r="O174">
        <v>0.12</v>
      </c>
      <c r="P174" t="s">
        <v>22</v>
      </c>
      <c r="Q174" t="s">
        <v>52</v>
      </c>
    </row>
    <row r="175" spans="1:18" x14ac:dyDescent="0.25">
      <c r="A175" s="1">
        <v>46175</v>
      </c>
      <c r="B175" t="s">
        <v>51</v>
      </c>
      <c r="C175" t="s">
        <v>44</v>
      </c>
      <c r="D175" t="s">
        <v>43</v>
      </c>
      <c r="E175" t="s">
        <v>29</v>
      </c>
      <c r="F175" t="s">
        <v>28</v>
      </c>
      <c r="G175">
        <v>33</v>
      </c>
      <c r="H175">
        <v>30</v>
      </c>
      <c r="I175">
        <v>3</v>
      </c>
      <c r="J175">
        <v>2.2999999999999998</v>
      </c>
      <c r="K175">
        <v>69</v>
      </c>
      <c r="L175">
        <v>6.9</v>
      </c>
      <c r="M175">
        <v>2.61</v>
      </c>
      <c r="N175">
        <v>26.44</v>
      </c>
      <c r="O175">
        <v>9.0899999999999995E-2</v>
      </c>
      <c r="P175" t="s">
        <v>22</v>
      </c>
      <c r="Q175" t="s">
        <v>52</v>
      </c>
    </row>
    <row r="176" spans="1:18" x14ac:dyDescent="0.25">
      <c r="A176" s="1">
        <v>46175</v>
      </c>
      <c r="B176" t="s">
        <v>51</v>
      </c>
      <c r="C176" t="s">
        <v>44</v>
      </c>
      <c r="D176" t="s">
        <v>43</v>
      </c>
      <c r="E176" t="s">
        <v>30</v>
      </c>
      <c r="F176" t="s">
        <v>28</v>
      </c>
      <c r="G176">
        <v>16</v>
      </c>
      <c r="H176">
        <v>14</v>
      </c>
      <c r="I176">
        <v>2</v>
      </c>
      <c r="J176">
        <v>3.8</v>
      </c>
      <c r="K176">
        <v>53.2</v>
      </c>
      <c r="L176">
        <v>7.6</v>
      </c>
      <c r="M176">
        <v>1.39</v>
      </c>
      <c r="N176">
        <v>38.270000000000003</v>
      </c>
      <c r="O176">
        <v>0.125</v>
      </c>
      <c r="P176" t="s">
        <v>22</v>
      </c>
      <c r="Q176" t="s">
        <v>52</v>
      </c>
    </row>
    <row r="177" spans="1:18" x14ac:dyDescent="0.25">
      <c r="A177" s="1">
        <v>46175</v>
      </c>
      <c r="B177" t="s">
        <v>51</v>
      </c>
      <c r="C177" t="s">
        <v>44</v>
      </c>
      <c r="D177" t="s">
        <v>43</v>
      </c>
      <c r="E177" t="s">
        <v>31</v>
      </c>
      <c r="F177" t="s">
        <v>32</v>
      </c>
      <c r="G177">
        <v>29</v>
      </c>
      <c r="H177">
        <v>24</v>
      </c>
      <c r="I177">
        <v>5</v>
      </c>
      <c r="J177">
        <v>2.9</v>
      </c>
      <c r="K177">
        <v>69.599999999999994</v>
      </c>
      <c r="L177">
        <v>14.5</v>
      </c>
      <c r="M177">
        <v>1.71</v>
      </c>
      <c r="N177">
        <v>40.700000000000003</v>
      </c>
      <c r="O177">
        <v>0.1724</v>
      </c>
      <c r="P177" t="s">
        <v>22</v>
      </c>
      <c r="Q177" t="s">
        <v>52</v>
      </c>
    </row>
    <row r="178" spans="1:18" x14ac:dyDescent="0.25">
      <c r="A178" s="1">
        <v>46175</v>
      </c>
      <c r="B178" t="s">
        <v>51</v>
      </c>
      <c r="C178" t="s">
        <v>44</v>
      </c>
      <c r="D178" t="s">
        <v>43</v>
      </c>
      <c r="E178" t="s">
        <v>33</v>
      </c>
      <c r="F178" t="s">
        <v>32</v>
      </c>
      <c r="G178">
        <v>28</v>
      </c>
      <c r="H178">
        <v>22</v>
      </c>
      <c r="I178">
        <v>6</v>
      </c>
      <c r="J178">
        <v>3</v>
      </c>
      <c r="K178">
        <v>66</v>
      </c>
      <c r="L178">
        <v>18</v>
      </c>
      <c r="M178">
        <v>1.6</v>
      </c>
      <c r="N178">
        <v>41.25</v>
      </c>
      <c r="O178">
        <v>0.21429999999999999</v>
      </c>
      <c r="P178" t="s">
        <v>22</v>
      </c>
      <c r="Q178" t="s">
        <v>52</v>
      </c>
    </row>
    <row r="179" spans="1:18" x14ac:dyDescent="0.25">
      <c r="A179" s="1">
        <v>46175</v>
      </c>
      <c r="B179" t="s">
        <v>51</v>
      </c>
      <c r="C179" t="s">
        <v>44</v>
      </c>
      <c r="D179" t="s">
        <v>43</v>
      </c>
      <c r="E179" t="s">
        <v>34</v>
      </c>
      <c r="F179" t="s">
        <v>32</v>
      </c>
      <c r="G179">
        <v>19</v>
      </c>
      <c r="H179">
        <v>17</v>
      </c>
      <c r="I179">
        <v>2</v>
      </c>
      <c r="J179">
        <v>3.5</v>
      </c>
      <c r="K179">
        <v>59.5</v>
      </c>
      <c r="L179">
        <v>7</v>
      </c>
      <c r="M179">
        <v>1.1000000000000001</v>
      </c>
      <c r="N179">
        <v>54.09</v>
      </c>
      <c r="O179">
        <v>0.1053</v>
      </c>
      <c r="P179" t="s">
        <v>22</v>
      </c>
      <c r="Q179" t="s">
        <v>52</v>
      </c>
    </row>
    <row r="180" spans="1:18" x14ac:dyDescent="0.25">
      <c r="A180" s="1">
        <v>46175</v>
      </c>
      <c r="B180" t="s">
        <v>51</v>
      </c>
      <c r="C180" t="s">
        <v>44</v>
      </c>
      <c r="D180" t="s">
        <v>43</v>
      </c>
      <c r="E180" t="s">
        <v>37</v>
      </c>
      <c r="F180" t="s">
        <v>38</v>
      </c>
      <c r="G180">
        <v>75</v>
      </c>
      <c r="H180">
        <v>75</v>
      </c>
      <c r="I180">
        <v>0</v>
      </c>
      <c r="J180">
        <v>2.4</v>
      </c>
      <c r="K180">
        <v>180</v>
      </c>
      <c r="L180">
        <v>0</v>
      </c>
      <c r="M180">
        <v>1.65</v>
      </c>
      <c r="N180">
        <v>109.09</v>
      </c>
      <c r="O180">
        <v>0</v>
      </c>
      <c r="P180" t="s">
        <v>22</v>
      </c>
      <c r="Q180" t="s">
        <v>52</v>
      </c>
    </row>
    <row r="181" spans="1:18" x14ac:dyDescent="0.25">
      <c r="A181" s="1">
        <v>46175</v>
      </c>
      <c r="B181" t="s">
        <v>51</v>
      </c>
      <c r="C181" t="s">
        <v>44</v>
      </c>
      <c r="D181" t="s">
        <v>43</v>
      </c>
      <c r="E181" t="s">
        <v>39</v>
      </c>
      <c r="F181" t="s">
        <v>38</v>
      </c>
      <c r="G181">
        <v>43</v>
      </c>
      <c r="H181">
        <v>40</v>
      </c>
      <c r="I181">
        <v>3</v>
      </c>
      <c r="J181">
        <v>1.8</v>
      </c>
      <c r="K181">
        <v>72</v>
      </c>
      <c r="L181">
        <v>5.4</v>
      </c>
      <c r="M181">
        <v>1.03</v>
      </c>
      <c r="N181">
        <v>69.900000000000006</v>
      </c>
      <c r="O181">
        <v>6.9800000000000001E-2</v>
      </c>
      <c r="P181" t="s">
        <v>22</v>
      </c>
      <c r="Q181" t="s">
        <v>52</v>
      </c>
    </row>
    <row r="182" spans="1:18" x14ac:dyDescent="0.25">
      <c r="A182" s="1">
        <v>46175</v>
      </c>
      <c r="B182" t="s">
        <v>51</v>
      </c>
      <c r="C182" t="s">
        <v>44</v>
      </c>
      <c r="D182" t="s">
        <v>43</v>
      </c>
      <c r="E182" t="s">
        <v>40</v>
      </c>
      <c r="F182" t="s">
        <v>41</v>
      </c>
      <c r="G182">
        <v>25</v>
      </c>
      <c r="H182">
        <v>24</v>
      </c>
      <c r="I182">
        <v>1</v>
      </c>
      <c r="J182">
        <v>4.5999999999999996</v>
      </c>
      <c r="K182">
        <v>110.4</v>
      </c>
      <c r="L182">
        <v>4.5999999999999996</v>
      </c>
      <c r="M182">
        <v>1.69</v>
      </c>
      <c r="N182">
        <v>65.33</v>
      </c>
      <c r="O182">
        <v>0.04</v>
      </c>
      <c r="P182" t="s">
        <v>22</v>
      </c>
      <c r="Q182" t="s">
        <v>52</v>
      </c>
    </row>
    <row r="183" spans="1:18" x14ac:dyDescent="0.25">
      <c r="A183" s="1">
        <v>46175</v>
      </c>
      <c r="B183" t="s">
        <v>51</v>
      </c>
      <c r="C183" t="s">
        <v>44</v>
      </c>
      <c r="D183" t="s">
        <v>43</v>
      </c>
      <c r="E183" t="s">
        <v>42</v>
      </c>
      <c r="F183" t="s">
        <v>41</v>
      </c>
      <c r="G183">
        <v>20</v>
      </c>
      <c r="H183">
        <v>15</v>
      </c>
      <c r="I183">
        <v>5</v>
      </c>
      <c r="J183">
        <v>4.8</v>
      </c>
      <c r="K183">
        <v>72</v>
      </c>
      <c r="L183">
        <v>24</v>
      </c>
      <c r="M183">
        <v>1.43</v>
      </c>
      <c r="N183">
        <v>50.35</v>
      </c>
      <c r="O183">
        <v>0.25</v>
      </c>
      <c r="P183" t="s">
        <v>22</v>
      </c>
      <c r="Q183" t="s">
        <v>52</v>
      </c>
    </row>
    <row r="184" spans="1:18" x14ac:dyDescent="0.25">
      <c r="A184" s="1">
        <v>46176</v>
      </c>
      <c r="B184" t="s">
        <v>51</v>
      </c>
      <c r="C184" t="s">
        <v>45</v>
      </c>
      <c r="D184" t="s">
        <v>19</v>
      </c>
      <c r="E184" t="s">
        <v>20</v>
      </c>
      <c r="F184" t="s">
        <v>21</v>
      </c>
      <c r="G184">
        <v>63</v>
      </c>
      <c r="H184">
        <v>55</v>
      </c>
      <c r="I184">
        <v>8</v>
      </c>
      <c r="J184">
        <v>2.5</v>
      </c>
      <c r="K184">
        <v>137.5</v>
      </c>
      <c r="L184">
        <v>20</v>
      </c>
      <c r="M184">
        <v>2.98</v>
      </c>
      <c r="N184">
        <v>46.14</v>
      </c>
      <c r="O184">
        <v>0.127</v>
      </c>
      <c r="P184" t="s">
        <v>22</v>
      </c>
      <c r="Q184" t="s">
        <v>23</v>
      </c>
    </row>
    <row r="185" spans="1:18" x14ac:dyDescent="0.25">
      <c r="A185" s="1">
        <v>46176</v>
      </c>
      <c r="B185" t="s">
        <v>51</v>
      </c>
      <c r="C185" t="s">
        <v>45</v>
      </c>
      <c r="D185" t="s">
        <v>19</v>
      </c>
      <c r="E185" t="s">
        <v>25</v>
      </c>
      <c r="F185" t="s">
        <v>21</v>
      </c>
      <c r="G185">
        <v>55</v>
      </c>
      <c r="H185">
        <v>42</v>
      </c>
      <c r="I185">
        <v>13</v>
      </c>
      <c r="J185">
        <v>2.8</v>
      </c>
      <c r="K185">
        <v>117.6</v>
      </c>
      <c r="L185">
        <v>36.4</v>
      </c>
      <c r="M185">
        <v>2.73</v>
      </c>
      <c r="N185">
        <v>43.08</v>
      </c>
      <c r="O185">
        <v>0.2364</v>
      </c>
      <c r="P185" t="s">
        <v>22</v>
      </c>
      <c r="Q185" t="s">
        <v>23</v>
      </c>
      <c r="R185" t="s">
        <v>24</v>
      </c>
    </row>
    <row r="186" spans="1:18" x14ac:dyDescent="0.25">
      <c r="A186" s="1">
        <v>46176</v>
      </c>
      <c r="B186" t="s">
        <v>51</v>
      </c>
      <c r="C186" t="s">
        <v>45</v>
      </c>
      <c r="D186" t="s">
        <v>19</v>
      </c>
      <c r="E186" t="s">
        <v>26</v>
      </c>
      <c r="F186" t="s">
        <v>21</v>
      </c>
      <c r="G186">
        <v>45</v>
      </c>
      <c r="H186">
        <v>38</v>
      </c>
      <c r="I186">
        <v>7</v>
      </c>
      <c r="J186">
        <v>3.1</v>
      </c>
      <c r="K186">
        <v>117.8</v>
      </c>
      <c r="L186">
        <v>21.7</v>
      </c>
      <c r="M186">
        <v>2.2400000000000002</v>
      </c>
      <c r="N186">
        <v>52.59</v>
      </c>
      <c r="O186">
        <v>0.15559999999999999</v>
      </c>
      <c r="P186" t="s">
        <v>22</v>
      </c>
      <c r="Q186" t="s">
        <v>23</v>
      </c>
    </row>
    <row r="187" spans="1:18" x14ac:dyDescent="0.25">
      <c r="A187" s="1">
        <v>46176</v>
      </c>
      <c r="B187" t="s">
        <v>51</v>
      </c>
      <c r="C187" t="s">
        <v>45</v>
      </c>
      <c r="D187" t="s">
        <v>19</v>
      </c>
      <c r="E187" t="s">
        <v>27</v>
      </c>
      <c r="F187" t="s">
        <v>28</v>
      </c>
      <c r="G187">
        <v>33</v>
      </c>
      <c r="H187">
        <v>28</v>
      </c>
      <c r="I187">
        <v>5</v>
      </c>
      <c r="J187">
        <v>4.2</v>
      </c>
      <c r="K187">
        <v>117.6</v>
      </c>
      <c r="L187">
        <v>21</v>
      </c>
      <c r="M187">
        <v>2.65</v>
      </c>
      <c r="N187">
        <v>44.38</v>
      </c>
      <c r="O187">
        <v>0.1515</v>
      </c>
      <c r="P187" t="s">
        <v>22</v>
      </c>
      <c r="Q187" t="s">
        <v>23</v>
      </c>
    </row>
    <row r="188" spans="1:18" x14ac:dyDescent="0.25">
      <c r="A188" s="1">
        <v>46176</v>
      </c>
      <c r="B188" t="s">
        <v>51</v>
      </c>
      <c r="C188" t="s">
        <v>45</v>
      </c>
      <c r="D188" t="s">
        <v>19</v>
      </c>
      <c r="E188" t="s">
        <v>29</v>
      </c>
      <c r="F188" t="s">
        <v>28</v>
      </c>
      <c r="G188">
        <v>47</v>
      </c>
      <c r="H188">
        <v>44</v>
      </c>
      <c r="I188">
        <v>3</v>
      </c>
      <c r="J188">
        <v>2.2999999999999998</v>
      </c>
      <c r="K188">
        <v>101.2</v>
      </c>
      <c r="L188">
        <v>6.9</v>
      </c>
      <c r="M188">
        <v>3.54</v>
      </c>
      <c r="N188">
        <v>28.59</v>
      </c>
      <c r="O188">
        <v>6.3799999999999996E-2</v>
      </c>
      <c r="P188" t="s">
        <v>22</v>
      </c>
      <c r="Q188" t="s">
        <v>23</v>
      </c>
    </row>
    <row r="189" spans="1:18" x14ac:dyDescent="0.25">
      <c r="A189" s="1">
        <v>46176</v>
      </c>
      <c r="B189" t="s">
        <v>51</v>
      </c>
      <c r="C189" t="s">
        <v>45</v>
      </c>
      <c r="D189" t="s">
        <v>19</v>
      </c>
      <c r="E189" t="s">
        <v>30</v>
      </c>
      <c r="F189" t="s">
        <v>28</v>
      </c>
      <c r="G189">
        <v>24</v>
      </c>
      <c r="H189">
        <v>19</v>
      </c>
      <c r="I189">
        <v>5</v>
      </c>
      <c r="J189">
        <v>3.8</v>
      </c>
      <c r="K189">
        <v>72.2</v>
      </c>
      <c r="L189">
        <v>19</v>
      </c>
      <c r="M189">
        <v>1.84</v>
      </c>
      <c r="N189">
        <v>39.24</v>
      </c>
      <c r="O189">
        <v>0.20830000000000001</v>
      </c>
      <c r="P189" t="s">
        <v>22</v>
      </c>
      <c r="Q189" t="s">
        <v>23</v>
      </c>
    </row>
    <row r="190" spans="1:18" x14ac:dyDescent="0.25">
      <c r="A190" s="1">
        <v>46176</v>
      </c>
      <c r="B190" t="s">
        <v>51</v>
      </c>
      <c r="C190" t="s">
        <v>45</v>
      </c>
      <c r="D190" t="s">
        <v>19</v>
      </c>
      <c r="E190" t="s">
        <v>31</v>
      </c>
      <c r="F190" t="s">
        <v>32</v>
      </c>
      <c r="G190">
        <v>45</v>
      </c>
      <c r="H190">
        <v>40</v>
      </c>
      <c r="I190">
        <v>5</v>
      </c>
      <c r="J190">
        <v>2.9</v>
      </c>
      <c r="K190">
        <v>116</v>
      </c>
      <c r="L190">
        <v>14.5</v>
      </c>
      <c r="M190">
        <v>2.36</v>
      </c>
      <c r="N190">
        <v>49.15</v>
      </c>
      <c r="O190">
        <v>0.1111</v>
      </c>
      <c r="P190" t="s">
        <v>22</v>
      </c>
      <c r="Q190" t="s">
        <v>23</v>
      </c>
    </row>
    <row r="191" spans="1:18" x14ac:dyDescent="0.25">
      <c r="A191" s="1">
        <v>46176</v>
      </c>
      <c r="B191" t="s">
        <v>51</v>
      </c>
      <c r="C191" t="s">
        <v>45</v>
      </c>
      <c r="D191" t="s">
        <v>19</v>
      </c>
      <c r="E191" t="s">
        <v>33</v>
      </c>
      <c r="F191" t="s">
        <v>32</v>
      </c>
      <c r="G191">
        <v>40</v>
      </c>
      <c r="H191">
        <v>31</v>
      </c>
      <c r="I191">
        <v>9</v>
      </c>
      <c r="J191">
        <v>3</v>
      </c>
      <c r="K191">
        <v>93</v>
      </c>
      <c r="L191">
        <v>27</v>
      </c>
      <c r="M191">
        <v>2.2599999999999998</v>
      </c>
      <c r="N191">
        <v>41.15</v>
      </c>
      <c r="O191">
        <v>0.22500000000000001</v>
      </c>
      <c r="P191" t="s">
        <v>22</v>
      </c>
      <c r="Q191" t="s">
        <v>23</v>
      </c>
    </row>
    <row r="192" spans="1:18" x14ac:dyDescent="0.25">
      <c r="A192" s="1">
        <v>46176</v>
      </c>
      <c r="B192" t="s">
        <v>51</v>
      </c>
      <c r="C192" t="s">
        <v>45</v>
      </c>
      <c r="D192" t="s">
        <v>19</v>
      </c>
      <c r="E192" t="s">
        <v>34</v>
      </c>
      <c r="F192" t="s">
        <v>32</v>
      </c>
      <c r="G192">
        <v>32</v>
      </c>
      <c r="H192">
        <v>26</v>
      </c>
      <c r="I192">
        <v>6</v>
      </c>
      <c r="J192">
        <v>3.5</v>
      </c>
      <c r="K192">
        <v>91</v>
      </c>
      <c r="L192">
        <v>21</v>
      </c>
      <c r="M192">
        <v>1.72</v>
      </c>
      <c r="N192">
        <v>52.91</v>
      </c>
      <c r="O192">
        <v>0.1875</v>
      </c>
      <c r="P192" t="s">
        <v>22</v>
      </c>
      <c r="Q192" t="s">
        <v>23</v>
      </c>
    </row>
    <row r="193" spans="1:18" x14ac:dyDescent="0.25">
      <c r="A193" s="1">
        <v>46176</v>
      </c>
      <c r="B193" t="s">
        <v>51</v>
      </c>
      <c r="C193" t="s">
        <v>45</v>
      </c>
      <c r="D193" t="s">
        <v>19</v>
      </c>
      <c r="E193" t="s">
        <v>37</v>
      </c>
      <c r="F193" t="s">
        <v>38</v>
      </c>
      <c r="G193">
        <v>108</v>
      </c>
      <c r="H193">
        <v>100</v>
      </c>
      <c r="I193">
        <v>8</v>
      </c>
      <c r="J193">
        <v>2.4</v>
      </c>
      <c r="K193">
        <v>240</v>
      </c>
      <c r="L193">
        <v>19.2</v>
      </c>
      <c r="M193">
        <v>2.02</v>
      </c>
      <c r="N193">
        <v>118.81</v>
      </c>
      <c r="O193">
        <v>7.4099999999999999E-2</v>
      </c>
      <c r="P193" t="s">
        <v>22</v>
      </c>
      <c r="Q193" t="s">
        <v>23</v>
      </c>
    </row>
    <row r="194" spans="1:18" x14ac:dyDescent="0.25">
      <c r="A194" s="1">
        <v>46176</v>
      </c>
      <c r="B194" t="s">
        <v>51</v>
      </c>
      <c r="C194" t="s">
        <v>45</v>
      </c>
      <c r="D194" t="s">
        <v>19</v>
      </c>
      <c r="E194" t="s">
        <v>39</v>
      </c>
      <c r="F194" t="s">
        <v>38</v>
      </c>
      <c r="G194">
        <v>65</v>
      </c>
      <c r="H194">
        <v>58</v>
      </c>
      <c r="I194">
        <v>7</v>
      </c>
      <c r="J194">
        <v>1.8</v>
      </c>
      <c r="K194">
        <v>104.4</v>
      </c>
      <c r="L194">
        <v>12.6</v>
      </c>
      <c r="M194">
        <v>1.26</v>
      </c>
      <c r="N194">
        <v>82.86</v>
      </c>
      <c r="O194">
        <v>0.1077</v>
      </c>
      <c r="P194" t="s">
        <v>35</v>
      </c>
      <c r="Q194" t="s">
        <v>23</v>
      </c>
      <c r="R194" t="s">
        <v>36</v>
      </c>
    </row>
    <row r="195" spans="1:18" x14ac:dyDescent="0.25">
      <c r="A195" s="1">
        <v>46176</v>
      </c>
      <c r="B195" t="s">
        <v>51</v>
      </c>
      <c r="C195" t="s">
        <v>45</v>
      </c>
      <c r="D195" t="s">
        <v>19</v>
      </c>
      <c r="E195" t="s">
        <v>40</v>
      </c>
      <c r="F195" t="s">
        <v>41</v>
      </c>
      <c r="G195">
        <v>39</v>
      </c>
      <c r="H195">
        <v>35</v>
      </c>
      <c r="I195">
        <v>4</v>
      </c>
      <c r="J195">
        <v>4.5999999999999996</v>
      </c>
      <c r="K195">
        <v>161</v>
      </c>
      <c r="L195">
        <v>18.399999999999999</v>
      </c>
      <c r="M195">
        <v>2.54</v>
      </c>
      <c r="N195">
        <v>63.39</v>
      </c>
      <c r="O195">
        <v>0.1026</v>
      </c>
      <c r="P195" t="s">
        <v>22</v>
      </c>
      <c r="Q195" t="s">
        <v>23</v>
      </c>
    </row>
    <row r="196" spans="1:18" x14ac:dyDescent="0.25">
      <c r="A196" s="1">
        <v>46176</v>
      </c>
      <c r="B196" t="s">
        <v>51</v>
      </c>
      <c r="C196" t="s">
        <v>45</v>
      </c>
      <c r="D196" t="s">
        <v>19</v>
      </c>
      <c r="E196" t="s">
        <v>42</v>
      </c>
      <c r="F196" t="s">
        <v>41</v>
      </c>
      <c r="G196">
        <v>29</v>
      </c>
      <c r="H196">
        <v>25</v>
      </c>
      <c r="I196">
        <v>4</v>
      </c>
      <c r="J196">
        <v>4.8</v>
      </c>
      <c r="K196">
        <v>120</v>
      </c>
      <c r="L196">
        <v>19.2</v>
      </c>
      <c r="M196">
        <v>1.86</v>
      </c>
      <c r="N196">
        <v>64.52</v>
      </c>
      <c r="O196">
        <v>0.13789999999999999</v>
      </c>
      <c r="P196" t="s">
        <v>22</v>
      </c>
      <c r="Q196" t="s">
        <v>23</v>
      </c>
    </row>
    <row r="197" spans="1:18" x14ac:dyDescent="0.25">
      <c r="A197" s="1">
        <v>46176</v>
      </c>
      <c r="B197" t="s">
        <v>51</v>
      </c>
      <c r="C197" t="s">
        <v>45</v>
      </c>
      <c r="D197" t="s">
        <v>43</v>
      </c>
      <c r="E197" t="s">
        <v>20</v>
      </c>
      <c r="F197" t="s">
        <v>21</v>
      </c>
      <c r="G197">
        <v>52</v>
      </c>
      <c r="H197">
        <v>49</v>
      </c>
      <c r="I197">
        <v>3</v>
      </c>
      <c r="J197">
        <v>2.5</v>
      </c>
      <c r="K197">
        <v>122.5</v>
      </c>
      <c r="L197">
        <v>7.5</v>
      </c>
      <c r="M197">
        <v>2.54</v>
      </c>
      <c r="N197">
        <v>48.23</v>
      </c>
      <c r="O197">
        <v>5.7700000000000001E-2</v>
      </c>
      <c r="P197" t="s">
        <v>22</v>
      </c>
      <c r="Q197" t="s">
        <v>23</v>
      </c>
    </row>
    <row r="198" spans="1:18" x14ac:dyDescent="0.25">
      <c r="A198" s="1">
        <v>46176</v>
      </c>
      <c r="B198" t="s">
        <v>51</v>
      </c>
      <c r="C198" t="s">
        <v>45</v>
      </c>
      <c r="D198" t="s">
        <v>43</v>
      </c>
      <c r="E198" t="s">
        <v>25</v>
      </c>
      <c r="F198" t="s">
        <v>21</v>
      </c>
      <c r="G198">
        <v>49</v>
      </c>
      <c r="H198">
        <v>37</v>
      </c>
      <c r="I198">
        <v>12</v>
      </c>
      <c r="J198">
        <v>2.8</v>
      </c>
      <c r="K198">
        <v>103.6</v>
      </c>
      <c r="L198">
        <v>33.6</v>
      </c>
      <c r="M198">
        <v>2.4900000000000002</v>
      </c>
      <c r="N198">
        <v>41.61</v>
      </c>
      <c r="O198">
        <v>0.24490000000000001</v>
      </c>
      <c r="P198" t="s">
        <v>35</v>
      </c>
      <c r="Q198" t="s">
        <v>23</v>
      </c>
      <c r="R198" t="s">
        <v>24</v>
      </c>
    </row>
    <row r="199" spans="1:18" x14ac:dyDescent="0.25">
      <c r="A199" s="1">
        <v>46176</v>
      </c>
      <c r="B199" t="s">
        <v>51</v>
      </c>
      <c r="C199" t="s">
        <v>45</v>
      </c>
      <c r="D199" t="s">
        <v>43</v>
      </c>
      <c r="E199" t="s">
        <v>26</v>
      </c>
      <c r="F199" t="s">
        <v>21</v>
      </c>
      <c r="G199">
        <v>36</v>
      </c>
      <c r="H199">
        <v>28</v>
      </c>
      <c r="I199">
        <v>8</v>
      </c>
      <c r="J199">
        <v>3.1</v>
      </c>
      <c r="K199">
        <v>86.8</v>
      </c>
      <c r="L199">
        <v>24.8</v>
      </c>
      <c r="M199">
        <v>1.92</v>
      </c>
      <c r="N199">
        <v>45.21</v>
      </c>
      <c r="O199">
        <v>0.22220000000000001</v>
      </c>
      <c r="P199" t="s">
        <v>22</v>
      </c>
      <c r="Q199" t="s">
        <v>23</v>
      </c>
    </row>
    <row r="200" spans="1:18" x14ac:dyDescent="0.25">
      <c r="A200" s="1">
        <v>46176</v>
      </c>
      <c r="B200" t="s">
        <v>51</v>
      </c>
      <c r="C200" t="s">
        <v>45</v>
      </c>
      <c r="D200" t="s">
        <v>43</v>
      </c>
      <c r="E200" t="s">
        <v>27</v>
      </c>
      <c r="F200" t="s">
        <v>28</v>
      </c>
      <c r="G200">
        <v>26</v>
      </c>
      <c r="H200">
        <v>23</v>
      </c>
      <c r="I200">
        <v>3</v>
      </c>
      <c r="J200">
        <v>4.2</v>
      </c>
      <c r="K200">
        <v>96.6</v>
      </c>
      <c r="L200">
        <v>12.6</v>
      </c>
      <c r="M200">
        <v>2.17</v>
      </c>
      <c r="N200">
        <v>44.52</v>
      </c>
      <c r="O200">
        <v>0.1154</v>
      </c>
      <c r="P200" t="s">
        <v>22</v>
      </c>
      <c r="Q200" t="s">
        <v>23</v>
      </c>
    </row>
    <row r="201" spans="1:18" x14ac:dyDescent="0.25">
      <c r="A201" s="1">
        <v>46176</v>
      </c>
      <c r="B201" t="s">
        <v>51</v>
      </c>
      <c r="C201" t="s">
        <v>45</v>
      </c>
      <c r="D201" t="s">
        <v>43</v>
      </c>
      <c r="E201" t="s">
        <v>29</v>
      </c>
      <c r="F201" t="s">
        <v>28</v>
      </c>
      <c r="G201">
        <v>34</v>
      </c>
      <c r="H201">
        <v>31</v>
      </c>
      <c r="I201">
        <v>3</v>
      </c>
      <c r="J201">
        <v>2.2999999999999998</v>
      </c>
      <c r="K201">
        <v>71.3</v>
      </c>
      <c r="L201">
        <v>6.9</v>
      </c>
      <c r="M201">
        <v>2.5299999999999998</v>
      </c>
      <c r="N201">
        <v>28.18</v>
      </c>
      <c r="O201">
        <v>8.8200000000000001E-2</v>
      </c>
      <c r="P201" t="s">
        <v>22</v>
      </c>
      <c r="Q201" t="s">
        <v>23</v>
      </c>
    </row>
    <row r="202" spans="1:18" x14ac:dyDescent="0.25">
      <c r="A202" s="1">
        <v>46176</v>
      </c>
      <c r="B202" t="s">
        <v>51</v>
      </c>
      <c r="C202" t="s">
        <v>45</v>
      </c>
      <c r="D202" t="s">
        <v>43</v>
      </c>
      <c r="E202" t="s">
        <v>30</v>
      </c>
      <c r="F202" t="s">
        <v>28</v>
      </c>
      <c r="G202">
        <v>20</v>
      </c>
      <c r="H202">
        <v>16</v>
      </c>
      <c r="I202">
        <v>4</v>
      </c>
      <c r="J202">
        <v>3.8</v>
      </c>
      <c r="K202">
        <v>60.8</v>
      </c>
      <c r="L202">
        <v>15.2</v>
      </c>
      <c r="M202">
        <v>1.55</v>
      </c>
      <c r="N202">
        <v>39.229999999999997</v>
      </c>
      <c r="O202">
        <v>0.2</v>
      </c>
      <c r="P202" t="s">
        <v>22</v>
      </c>
      <c r="Q202" t="s">
        <v>23</v>
      </c>
    </row>
    <row r="203" spans="1:18" x14ac:dyDescent="0.25">
      <c r="A203" s="1">
        <v>46176</v>
      </c>
      <c r="B203" t="s">
        <v>51</v>
      </c>
      <c r="C203" t="s">
        <v>45</v>
      </c>
      <c r="D203" t="s">
        <v>43</v>
      </c>
      <c r="E203" t="s">
        <v>31</v>
      </c>
      <c r="F203" t="s">
        <v>32</v>
      </c>
      <c r="G203">
        <v>36</v>
      </c>
      <c r="H203">
        <v>30</v>
      </c>
      <c r="I203">
        <v>6</v>
      </c>
      <c r="J203">
        <v>2.9</v>
      </c>
      <c r="K203">
        <v>87</v>
      </c>
      <c r="L203">
        <v>17.399999999999999</v>
      </c>
      <c r="M203">
        <v>1.92</v>
      </c>
      <c r="N203">
        <v>45.31</v>
      </c>
      <c r="O203">
        <v>0.16669999999999999</v>
      </c>
      <c r="P203" t="s">
        <v>22</v>
      </c>
      <c r="Q203" t="s">
        <v>23</v>
      </c>
    </row>
    <row r="204" spans="1:18" x14ac:dyDescent="0.25">
      <c r="A204" s="1">
        <v>46176</v>
      </c>
      <c r="B204" t="s">
        <v>51</v>
      </c>
      <c r="C204" t="s">
        <v>45</v>
      </c>
      <c r="D204" t="s">
        <v>43</v>
      </c>
      <c r="E204" t="s">
        <v>33</v>
      </c>
      <c r="F204" t="s">
        <v>32</v>
      </c>
      <c r="G204">
        <v>27</v>
      </c>
      <c r="H204">
        <v>26</v>
      </c>
      <c r="I204">
        <v>1</v>
      </c>
      <c r="J204">
        <v>3</v>
      </c>
      <c r="K204">
        <v>78</v>
      </c>
      <c r="L204">
        <v>3</v>
      </c>
      <c r="M204">
        <v>1.61</v>
      </c>
      <c r="N204">
        <v>48.45</v>
      </c>
      <c r="O204">
        <v>3.6999999999999998E-2</v>
      </c>
      <c r="P204" t="s">
        <v>22</v>
      </c>
      <c r="Q204" t="s">
        <v>23</v>
      </c>
    </row>
    <row r="205" spans="1:18" x14ac:dyDescent="0.25">
      <c r="A205" s="1">
        <v>46176</v>
      </c>
      <c r="B205" t="s">
        <v>51</v>
      </c>
      <c r="C205" t="s">
        <v>45</v>
      </c>
      <c r="D205" t="s">
        <v>43</v>
      </c>
      <c r="E205" t="s">
        <v>34</v>
      </c>
      <c r="F205" t="s">
        <v>32</v>
      </c>
      <c r="G205">
        <v>23</v>
      </c>
      <c r="H205">
        <v>20</v>
      </c>
      <c r="I205">
        <v>3</v>
      </c>
      <c r="J205">
        <v>3.5</v>
      </c>
      <c r="K205">
        <v>70</v>
      </c>
      <c r="L205">
        <v>10.5</v>
      </c>
      <c r="M205">
        <v>1.45</v>
      </c>
      <c r="N205">
        <v>48.28</v>
      </c>
      <c r="O205">
        <v>0.13039999999999999</v>
      </c>
      <c r="P205" t="s">
        <v>22</v>
      </c>
      <c r="Q205" t="s">
        <v>23</v>
      </c>
    </row>
    <row r="206" spans="1:18" x14ac:dyDescent="0.25">
      <c r="A206" s="1">
        <v>46176</v>
      </c>
      <c r="B206" t="s">
        <v>51</v>
      </c>
      <c r="C206" t="s">
        <v>45</v>
      </c>
      <c r="D206" t="s">
        <v>43</v>
      </c>
      <c r="E206" t="s">
        <v>37</v>
      </c>
      <c r="F206" t="s">
        <v>38</v>
      </c>
      <c r="G206">
        <v>89</v>
      </c>
      <c r="H206">
        <v>78</v>
      </c>
      <c r="I206">
        <v>11</v>
      </c>
      <c r="J206">
        <v>2.4</v>
      </c>
      <c r="K206">
        <v>187.2</v>
      </c>
      <c r="L206">
        <v>26.4</v>
      </c>
      <c r="M206">
        <v>1.8</v>
      </c>
      <c r="N206">
        <v>104</v>
      </c>
      <c r="O206">
        <v>0.1236</v>
      </c>
      <c r="P206" t="s">
        <v>35</v>
      </c>
      <c r="Q206" t="s">
        <v>23</v>
      </c>
      <c r="R206" t="s">
        <v>36</v>
      </c>
    </row>
    <row r="207" spans="1:18" x14ac:dyDescent="0.25">
      <c r="A207" s="1">
        <v>46176</v>
      </c>
      <c r="B207" t="s">
        <v>51</v>
      </c>
      <c r="C207" t="s">
        <v>45</v>
      </c>
      <c r="D207" t="s">
        <v>43</v>
      </c>
      <c r="E207" t="s">
        <v>39</v>
      </c>
      <c r="F207" t="s">
        <v>38</v>
      </c>
      <c r="G207">
        <v>48</v>
      </c>
      <c r="H207">
        <v>44</v>
      </c>
      <c r="I207">
        <v>4</v>
      </c>
      <c r="J207">
        <v>1.8</v>
      </c>
      <c r="K207">
        <v>79.2</v>
      </c>
      <c r="L207">
        <v>7.2</v>
      </c>
      <c r="M207">
        <v>1.05</v>
      </c>
      <c r="N207">
        <v>75.430000000000007</v>
      </c>
      <c r="O207">
        <v>8.3299999999999999E-2</v>
      </c>
      <c r="P207" t="s">
        <v>22</v>
      </c>
      <c r="Q207" t="s">
        <v>23</v>
      </c>
    </row>
    <row r="208" spans="1:18" x14ac:dyDescent="0.25">
      <c r="A208" s="1">
        <v>46176</v>
      </c>
      <c r="B208" t="s">
        <v>51</v>
      </c>
      <c r="C208" t="s">
        <v>45</v>
      </c>
      <c r="D208" t="s">
        <v>43</v>
      </c>
      <c r="E208" t="s">
        <v>40</v>
      </c>
      <c r="F208" t="s">
        <v>41</v>
      </c>
      <c r="G208">
        <v>31</v>
      </c>
      <c r="H208">
        <v>28</v>
      </c>
      <c r="I208">
        <v>3</v>
      </c>
      <c r="J208">
        <v>4.5999999999999996</v>
      </c>
      <c r="K208">
        <v>128.80000000000001</v>
      </c>
      <c r="L208">
        <v>13.8</v>
      </c>
      <c r="M208">
        <v>2.0299999999999998</v>
      </c>
      <c r="N208">
        <v>63.45</v>
      </c>
      <c r="O208">
        <v>9.6799999999999997E-2</v>
      </c>
      <c r="P208" t="s">
        <v>22</v>
      </c>
      <c r="Q208" t="s">
        <v>23</v>
      </c>
    </row>
    <row r="209" spans="1:18" x14ac:dyDescent="0.25">
      <c r="A209" s="1">
        <v>46176</v>
      </c>
      <c r="B209" t="s">
        <v>51</v>
      </c>
      <c r="C209" t="s">
        <v>45</v>
      </c>
      <c r="D209" t="s">
        <v>43</v>
      </c>
      <c r="E209" t="s">
        <v>42</v>
      </c>
      <c r="F209" t="s">
        <v>41</v>
      </c>
      <c r="G209">
        <v>20</v>
      </c>
      <c r="H209">
        <v>18</v>
      </c>
      <c r="I209">
        <v>2</v>
      </c>
      <c r="J209">
        <v>4.8</v>
      </c>
      <c r="K209">
        <v>86.4</v>
      </c>
      <c r="L209">
        <v>9.6</v>
      </c>
      <c r="M209">
        <v>1.54</v>
      </c>
      <c r="N209">
        <v>56.1</v>
      </c>
      <c r="O209">
        <v>0.1</v>
      </c>
      <c r="P209" t="s">
        <v>22</v>
      </c>
      <c r="Q209" t="s">
        <v>23</v>
      </c>
    </row>
    <row r="210" spans="1:18" x14ac:dyDescent="0.25">
      <c r="A210" s="1">
        <v>46177</v>
      </c>
      <c r="B210" t="s">
        <v>51</v>
      </c>
      <c r="C210" t="s">
        <v>48</v>
      </c>
      <c r="D210" t="s">
        <v>19</v>
      </c>
      <c r="E210" t="s">
        <v>20</v>
      </c>
      <c r="F210" t="s">
        <v>21</v>
      </c>
      <c r="G210">
        <v>80</v>
      </c>
      <c r="H210">
        <v>71</v>
      </c>
      <c r="I210">
        <v>9</v>
      </c>
      <c r="J210">
        <v>2.5</v>
      </c>
      <c r="K210">
        <v>177.5</v>
      </c>
      <c r="L210">
        <v>22.5</v>
      </c>
      <c r="M210">
        <v>3.91</v>
      </c>
      <c r="N210">
        <v>45.4</v>
      </c>
      <c r="O210">
        <v>0.1125</v>
      </c>
      <c r="P210" t="s">
        <v>22</v>
      </c>
      <c r="Q210" t="s">
        <v>46</v>
      </c>
      <c r="R210" t="s">
        <v>47</v>
      </c>
    </row>
    <row r="211" spans="1:18" x14ac:dyDescent="0.25">
      <c r="A211" s="1">
        <v>46177</v>
      </c>
      <c r="B211" t="s">
        <v>51</v>
      </c>
      <c r="C211" t="s">
        <v>48</v>
      </c>
      <c r="D211" t="s">
        <v>19</v>
      </c>
      <c r="E211" t="s">
        <v>25</v>
      </c>
      <c r="F211" t="s">
        <v>21</v>
      </c>
      <c r="G211">
        <v>58</v>
      </c>
      <c r="H211">
        <v>48</v>
      </c>
      <c r="I211">
        <v>10</v>
      </c>
      <c r="J211">
        <v>2.8</v>
      </c>
      <c r="K211">
        <v>134.4</v>
      </c>
      <c r="L211">
        <v>28</v>
      </c>
      <c r="M211">
        <v>2.88</v>
      </c>
      <c r="N211">
        <v>46.67</v>
      </c>
      <c r="O211">
        <v>0.1724</v>
      </c>
      <c r="P211" t="s">
        <v>22</v>
      </c>
      <c r="Q211" t="s">
        <v>46</v>
      </c>
      <c r="R211" t="s">
        <v>24</v>
      </c>
    </row>
    <row r="212" spans="1:18" x14ac:dyDescent="0.25">
      <c r="A212" s="1">
        <v>46177</v>
      </c>
      <c r="B212" t="s">
        <v>51</v>
      </c>
      <c r="C212" t="s">
        <v>48</v>
      </c>
      <c r="D212" t="s">
        <v>19</v>
      </c>
      <c r="E212" t="s">
        <v>26</v>
      </c>
      <c r="F212" t="s">
        <v>21</v>
      </c>
      <c r="G212">
        <v>51</v>
      </c>
      <c r="H212">
        <v>36</v>
      </c>
      <c r="I212">
        <v>15</v>
      </c>
      <c r="J212">
        <v>3.1</v>
      </c>
      <c r="K212">
        <v>111.6</v>
      </c>
      <c r="L212">
        <v>46.5</v>
      </c>
      <c r="M212">
        <v>2.37</v>
      </c>
      <c r="N212">
        <v>47.09</v>
      </c>
      <c r="O212">
        <v>0.29409999999999997</v>
      </c>
      <c r="P212" t="s">
        <v>22</v>
      </c>
      <c r="Q212" t="s">
        <v>46</v>
      </c>
      <c r="R212" t="s">
        <v>24</v>
      </c>
    </row>
    <row r="213" spans="1:18" x14ac:dyDescent="0.25">
      <c r="A213" s="1">
        <v>46177</v>
      </c>
      <c r="B213" t="s">
        <v>51</v>
      </c>
      <c r="C213" t="s">
        <v>48</v>
      </c>
      <c r="D213" t="s">
        <v>19</v>
      </c>
      <c r="E213" t="s">
        <v>27</v>
      </c>
      <c r="F213" t="s">
        <v>28</v>
      </c>
      <c r="G213">
        <v>43</v>
      </c>
      <c r="H213">
        <v>37</v>
      </c>
      <c r="I213">
        <v>6</v>
      </c>
      <c r="J213">
        <v>4.2</v>
      </c>
      <c r="K213">
        <v>155.4</v>
      </c>
      <c r="L213">
        <v>25.2</v>
      </c>
      <c r="M213">
        <v>3.28</v>
      </c>
      <c r="N213">
        <v>47.38</v>
      </c>
      <c r="O213">
        <v>0.13950000000000001</v>
      </c>
      <c r="P213" t="s">
        <v>22</v>
      </c>
      <c r="Q213" t="s">
        <v>46</v>
      </c>
      <c r="R213" t="s">
        <v>47</v>
      </c>
    </row>
    <row r="214" spans="1:18" x14ac:dyDescent="0.25">
      <c r="A214" s="1">
        <v>46177</v>
      </c>
      <c r="B214" t="s">
        <v>51</v>
      </c>
      <c r="C214" t="s">
        <v>48</v>
      </c>
      <c r="D214" t="s">
        <v>19</v>
      </c>
      <c r="E214" t="s">
        <v>29</v>
      </c>
      <c r="F214" t="s">
        <v>28</v>
      </c>
      <c r="G214">
        <v>50</v>
      </c>
      <c r="H214">
        <v>47</v>
      </c>
      <c r="I214">
        <v>3</v>
      </c>
      <c r="J214">
        <v>2.2999999999999998</v>
      </c>
      <c r="K214">
        <v>108.1</v>
      </c>
      <c r="L214">
        <v>6.9</v>
      </c>
      <c r="M214">
        <v>3.81</v>
      </c>
      <c r="N214">
        <v>28.37</v>
      </c>
      <c r="O214">
        <v>0.06</v>
      </c>
      <c r="P214" t="s">
        <v>22</v>
      </c>
      <c r="Q214" t="s">
        <v>46</v>
      </c>
    </row>
    <row r="215" spans="1:18" x14ac:dyDescent="0.25">
      <c r="A215" s="1">
        <v>46177</v>
      </c>
      <c r="B215" t="s">
        <v>51</v>
      </c>
      <c r="C215" t="s">
        <v>48</v>
      </c>
      <c r="D215" t="s">
        <v>19</v>
      </c>
      <c r="E215" t="s">
        <v>30</v>
      </c>
      <c r="F215" t="s">
        <v>28</v>
      </c>
      <c r="G215">
        <v>29</v>
      </c>
      <c r="H215">
        <v>26</v>
      </c>
      <c r="I215">
        <v>3</v>
      </c>
      <c r="J215">
        <v>3.8</v>
      </c>
      <c r="K215">
        <v>98.8</v>
      </c>
      <c r="L215">
        <v>11.4</v>
      </c>
      <c r="M215">
        <v>2.09</v>
      </c>
      <c r="N215">
        <v>47.27</v>
      </c>
      <c r="O215">
        <v>0.10340000000000001</v>
      </c>
      <c r="P215" t="s">
        <v>22</v>
      </c>
      <c r="Q215" t="s">
        <v>46</v>
      </c>
      <c r="R215" t="s">
        <v>47</v>
      </c>
    </row>
    <row r="216" spans="1:18" x14ac:dyDescent="0.25">
      <c r="A216" s="1">
        <v>46177</v>
      </c>
      <c r="B216" t="s">
        <v>51</v>
      </c>
      <c r="C216" t="s">
        <v>48</v>
      </c>
      <c r="D216" t="s">
        <v>19</v>
      </c>
      <c r="E216" t="s">
        <v>31</v>
      </c>
      <c r="F216" t="s">
        <v>32</v>
      </c>
      <c r="G216">
        <v>49</v>
      </c>
      <c r="H216">
        <v>42</v>
      </c>
      <c r="I216">
        <v>7</v>
      </c>
      <c r="J216">
        <v>2.9</v>
      </c>
      <c r="K216">
        <v>121.8</v>
      </c>
      <c r="L216">
        <v>20.3</v>
      </c>
      <c r="M216">
        <v>2.54</v>
      </c>
      <c r="N216">
        <v>47.95</v>
      </c>
      <c r="O216">
        <v>0.1429</v>
      </c>
      <c r="P216" t="s">
        <v>22</v>
      </c>
      <c r="Q216" t="s">
        <v>46</v>
      </c>
    </row>
    <row r="217" spans="1:18" x14ac:dyDescent="0.25">
      <c r="A217" s="1">
        <v>46177</v>
      </c>
      <c r="B217" t="s">
        <v>51</v>
      </c>
      <c r="C217" t="s">
        <v>48</v>
      </c>
      <c r="D217" t="s">
        <v>19</v>
      </c>
      <c r="E217" t="s">
        <v>33</v>
      </c>
      <c r="F217" t="s">
        <v>32</v>
      </c>
      <c r="G217">
        <v>43</v>
      </c>
      <c r="H217">
        <v>38</v>
      </c>
      <c r="I217">
        <v>5</v>
      </c>
      <c r="J217">
        <v>3</v>
      </c>
      <c r="K217">
        <v>114</v>
      </c>
      <c r="L217">
        <v>15</v>
      </c>
      <c r="M217">
        <v>2.25</v>
      </c>
      <c r="N217">
        <v>50.67</v>
      </c>
      <c r="O217">
        <v>0.1163</v>
      </c>
      <c r="P217" t="s">
        <v>22</v>
      </c>
      <c r="Q217" t="s">
        <v>46</v>
      </c>
    </row>
    <row r="218" spans="1:18" x14ac:dyDescent="0.25">
      <c r="A218" s="1">
        <v>46177</v>
      </c>
      <c r="B218" t="s">
        <v>51</v>
      </c>
      <c r="C218" t="s">
        <v>48</v>
      </c>
      <c r="D218" t="s">
        <v>19</v>
      </c>
      <c r="E218" t="s">
        <v>34</v>
      </c>
      <c r="F218" t="s">
        <v>32</v>
      </c>
      <c r="G218">
        <v>36</v>
      </c>
      <c r="H218">
        <v>30</v>
      </c>
      <c r="I218">
        <v>6</v>
      </c>
      <c r="J218">
        <v>3.5</v>
      </c>
      <c r="K218">
        <v>105</v>
      </c>
      <c r="L218">
        <v>21</v>
      </c>
      <c r="M218">
        <v>1.92</v>
      </c>
      <c r="N218">
        <v>54.69</v>
      </c>
      <c r="O218">
        <v>0.16669999999999999</v>
      </c>
      <c r="P218" t="s">
        <v>22</v>
      </c>
      <c r="Q218" t="s">
        <v>46</v>
      </c>
    </row>
    <row r="219" spans="1:18" x14ac:dyDescent="0.25">
      <c r="A219" s="1">
        <v>46177</v>
      </c>
      <c r="B219" t="s">
        <v>51</v>
      </c>
      <c r="C219" t="s">
        <v>48</v>
      </c>
      <c r="D219" t="s">
        <v>19</v>
      </c>
      <c r="E219" t="s">
        <v>37</v>
      </c>
      <c r="F219" t="s">
        <v>38</v>
      </c>
      <c r="G219">
        <v>132</v>
      </c>
      <c r="H219">
        <v>126</v>
      </c>
      <c r="I219">
        <v>6</v>
      </c>
      <c r="J219">
        <v>2.4</v>
      </c>
      <c r="K219">
        <v>302.39999999999998</v>
      </c>
      <c r="L219">
        <v>14.4</v>
      </c>
      <c r="M219">
        <v>2.5</v>
      </c>
      <c r="N219">
        <v>120.96</v>
      </c>
      <c r="O219">
        <v>4.5499999999999999E-2</v>
      </c>
      <c r="P219" t="s">
        <v>35</v>
      </c>
      <c r="Q219" t="s">
        <v>46</v>
      </c>
      <c r="R219" t="s">
        <v>47</v>
      </c>
    </row>
    <row r="220" spans="1:18" x14ac:dyDescent="0.25">
      <c r="A220" s="1">
        <v>46177</v>
      </c>
      <c r="B220" t="s">
        <v>51</v>
      </c>
      <c r="C220" t="s">
        <v>48</v>
      </c>
      <c r="D220" t="s">
        <v>19</v>
      </c>
      <c r="E220" t="s">
        <v>39</v>
      </c>
      <c r="F220" t="s">
        <v>38</v>
      </c>
      <c r="G220">
        <v>64</v>
      </c>
      <c r="H220">
        <v>64</v>
      </c>
      <c r="I220">
        <v>0</v>
      </c>
      <c r="J220">
        <v>1.8</v>
      </c>
      <c r="K220">
        <v>115.2</v>
      </c>
      <c r="L220">
        <v>0</v>
      </c>
      <c r="M220">
        <v>1.47</v>
      </c>
      <c r="N220">
        <v>78.37</v>
      </c>
      <c r="O220">
        <v>0</v>
      </c>
      <c r="P220" t="s">
        <v>22</v>
      </c>
      <c r="Q220" t="s">
        <v>46</v>
      </c>
    </row>
    <row r="221" spans="1:18" x14ac:dyDescent="0.25">
      <c r="A221" s="1">
        <v>46177</v>
      </c>
      <c r="B221" t="s">
        <v>51</v>
      </c>
      <c r="C221" t="s">
        <v>48</v>
      </c>
      <c r="D221" t="s">
        <v>19</v>
      </c>
      <c r="E221" t="s">
        <v>40</v>
      </c>
      <c r="F221" t="s">
        <v>41</v>
      </c>
      <c r="G221">
        <v>42</v>
      </c>
      <c r="H221">
        <v>38</v>
      </c>
      <c r="I221">
        <v>4</v>
      </c>
      <c r="J221">
        <v>4.5999999999999996</v>
      </c>
      <c r="K221">
        <v>174.8</v>
      </c>
      <c r="L221">
        <v>18.399999999999999</v>
      </c>
      <c r="M221">
        <v>2.67</v>
      </c>
      <c r="N221">
        <v>65.47</v>
      </c>
      <c r="O221">
        <v>9.5200000000000007E-2</v>
      </c>
      <c r="P221" t="s">
        <v>22</v>
      </c>
      <c r="Q221" t="s">
        <v>46</v>
      </c>
    </row>
    <row r="222" spans="1:18" x14ac:dyDescent="0.25">
      <c r="A222" s="1">
        <v>46177</v>
      </c>
      <c r="B222" t="s">
        <v>51</v>
      </c>
      <c r="C222" t="s">
        <v>48</v>
      </c>
      <c r="D222" t="s">
        <v>19</v>
      </c>
      <c r="E222" t="s">
        <v>42</v>
      </c>
      <c r="F222" t="s">
        <v>41</v>
      </c>
      <c r="G222">
        <v>32</v>
      </c>
      <c r="H222">
        <v>26</v>
      </c>
      <c r="I222">
        <v>6</v>
      </c>
      <c r="J222">
        <v>4.8</v>
      </c>
      <c r="K222">
        <v>124.8</v>
      </c>
      <c r="L222">
        <v>28.8</v>
      </c>
      <c r="M222">
        <v>2.0499999999999998</v>
      </c>
      <c r="N222">
        <v>60.88</v>
      </c>
      <c r="O222">
        <v>0.1875</v>
      </c>
      <c r="P222" t="s">
        <v>22</v>
      </c>
      <c r="Q222" t="s">
        <v>46</v>
      </c>
    </row>
    <row r="223" spans="1:18" x14ac:dyDescent="0.25">
      <c r="A223" s="1">
        <v>46177</v>
      </c>
      <c r="B223" t="s">
        <v>51</v>
      </c>
      <c r="C223" t="s">
        <v>48</v>
      </c>
      <c r="D223" t="s">
        <v>43</v>
      </c>
      <c r="E223" t="s">
        <v>20</v>
      </c>
      <c r="F223" t="s">
        <v>21</v>
      </c>
      <c r="G223">
        <v>58</v>
      </c>
      <c r="H223">
        <v>50</v>
      </c>
      <c r="I223">
        <v>8</v>
      </c>
      <c r="J223">
        <v>2.5</v>
      </c>
      <c r="K223">
        <v>125</v>
      </c>
      <c r="L223">
        <v>20</v>
      </c>
      <c r="M223">
        <v>2.8</v>
      </c>
      <c r="N223">
        <v>44.64</v>
      </c>
      <c r="O223">
        <v>0.13789999999999999</v>
      </c>
      <c r="P223" t="s">
        <v>22</v>
      </c>
      <c r="Q223" t="s">
        <v>46</v>
      </c>
    </row>
    <row r="224" spans="1:18" x14ac:dyDescent="0.25">
      <c r="A224" s="1">
        <v>46177</v>
      </c>
      <c r="B224" t="s">
        <v>51</v>
      </c>
      <c r="C224" t="s">
        <v>48</v>
      </c>
      <c r="D224" t="s">
        <v>43</v>
      </c>
      <c r="E224" t="s">
        <v>25</v>
      </c>
      <c r="F224" t="s">
        <v>21</v>
      </c>
      <c r="G224">
        <v>47</v>
      </c>
      <c r="H224">
        <v>40</v>
      </c>
      <c r="I224">
        <v>7</v>
      </c>
      <c r="J224">
        <v>2.8</v>
      </c>
      <c r="K224">
        <v>112</v>
      </c>
      <c r="L224">
        <v>19.600000000000001</v>
      </c>
      <c r="M224">
        <v>2.46</v>
      </c>
      <c r="N224">
        <v>45.53</v>
      </c>
      <c r="O224">
        <v>0.1489</v>
      </c>
      <c r="P224" t="s">
        <v>22</v>
      </c>
      <c r="Q224" t="s">
        <v>46</v>
      </c>
    </row>
    <row r="225" spans="1:18" x14ac:dyDescent="0.25">
      <c r="A225" s="1">
        <v>46177</v>
      </c>
      <c r="B225" t="s">
        <v>51</v>
      </c>
      <c r="C225" t="s">
        <v>48</v>
      </c>
      <c r="D225" t="s">
        <v>43</v>
      </c>
      <c r="E225" t="s">
        <v>26</v>
      </c>
      <c r="F225" t="s">
        <v>21</v>
      </c>
      <c r="G225">
        <v>41</v>
      </c>
      <c r="H225">
        <v>33</v>
      </c>
      <c r="I225">
        <v>8</v>
      </c>
      <c r="J225">
        <v>3.1</v>
      </c>
      <c r="K225">
        <v>102.3</v>
      </c>
      <c r="L225">
        <v>24.8</v>
      </c>
      <c r="M225">
        <v>1.98</v>
      </c>
      <c r="N225">
        <v>51.67</v>
      </c>
      <c r="O225">
        <v>0.1951</v>
      </c>
      <c r="P225" t="s">
        <v>22</v>
      </c>
      <c r="Q225" t="s">
        <v>46</v>
      </c>
    </row>
    <row r="226" spans="1:18" x14ac:dyDescent="0.25">
      <c r="A226" s="1">
        <v>46177</v>
      </c>
      <c r="B226" t="s">
        <v>51</v>
      </c>
      <c r="C226" t="s">
        <v>48</v>
      </c>
      <c r="D226" t="s">
        <v>43</v>
      </c>
      <c r="E226" t="s">
        <v>27</v>
      </c>
      <c r="F226" t="s">
        <v>28</v>
      </c>
      <c r="G226">
        <v>32</v>
      </c>
      <c r="H226">
        <v>28</v>
      </c>
      <c r="I226">
        <v>4</v>
      </c>
      <c r="J226">
        <v>4.2</v>
      </c>
      <c r="K226">
        <v>117.6</v>
      </c>
      <c r="L226">
        <v>16.8</v>
      </c>
      <c r="M226">
        <v>2.2999999999999998</v>
      </c>
      <c r="N226">
        <v>51.13</v>
      </c>
      <c r="O226">
        <v>0.125</v>
      </c>
      <c r="P226" t="s">
        <v>22</v>
      </c>
      <c r="Q226" t="s">
        <v>46</v>
      </c>
    </row>
    <row r="227" spans="1:18" x14ac:dyDescent="0.25">
      <c r="A227" s="1">
        <v>46177</v>
      </c>
      <c r="B227" t="s">
        <v>51</v>
      </c>
      <c r="C227" t="s">
        <v>48</v>
      </c>
      <c r="D227" t="s">
        <v>43</v>
      </c>
      <c r="E227" t="s">
        <v>29</v>
      </c>
      <c r="F227" t="s">
        <v>28</v>
      </c>
      <c r="G227">
        <v>42</v>
      </c>
      <c r="H227">
        <v>39</v>
      </c>
      <c r="I227">
        <v>3</v>
      </c>
      <c r="J227">
        <v>2.2999999999999998</v>
      </c>
      <c r="K227">
        <v>89.7</v>
      </c>
      <c r="L227">
        <v>6.9</v>
      </c>
      <c r="M227">
        <v>3.08</v>
      </c>
      <c r="N227">
        <v>29.12</v>
      </c>
      <c r="O227">
        <v>7.1400000000000005E-2</v>
      </c>
      <c r="P227" t="s">
        <v>22</v>
      </c>
      <c r="Q227" t="s">
        <v>46</v>
      </c>
      <c r="R227" t="s">
        <v>47</v>
      </c>
    </row>
    <row r="228" spans="1:18" x14ac:dyDescent="0.25">
      <c r="A228" s="1">
        <v>46177</v>
      </c>
      <c r="B228" t="s">
        <v>51</v>
      </c>
      <c r="C228" t="s">
        <v>48</v>
      </c>
      <c r="D228" t="s">
        <v>43</v>
      </c>
      <c r="E228" t="s">
        <v>30</v>
      </c>
      <c r="F228" t="s">
        <v>28</v>
      </c>
      <c r="G228">
        <v>23</v>
      </c>
      <c r="H228">
        <v>18</v>
      </c>
      <c r="I228">
        <v>5</v>
      </c>
      <c r="J228">
        <v>3.8</v>
      </c>
      <c r="K228">
        <v>68.400000000000006</v>
      </c>
      <c r="L228">
        <v>19</v>
      </c>
      <c r="M228">
        <v>1.85</v>
      </c>
      <c r="N228">
        <v>36.97</v>
      </c>
      <c r="O228">
        <v>0.21740000000000001</v>
      </c>
      <c r="P228" t="s">
        <v>22</v>
      </c>
      <c r="Q228" t="s">
        <v>46</v>
      </c>
    </row>
    <row r="229" spans="1:18" x14ac:dyDescent="0.25">
      <c r="A229" s="1">
        <v>46177</v>
      </c>
      <c r="B229" t="s">
        <v>51</v>
      </c>
      <c r="C229" t="s">
        <v>48</v>
      </c>
      <c r="D229" t="s">
        <v>43</v>
      </c>
      <c r="E229" t="s">
        <v>31</v>
      </c>
      <c r="F229" t="s">
        <v>32</v>
      </c>
      <c r="G229">
        <v>41</v>
      </c>
      <c r="H229">
        <v>36</v>
      </c>
      <c r="I229">
        <v>5</v>
      </c>
      <c r="J229">
        <v>2.9</v>
      </c>
      <c r="K229">
        <v>104.4</v>
      </c>
      <c r="L229">
        <v>14.5</v>
      </c>
      <c r="M229">
        <v>2.2999999999999998</v>
      </c>
      <c r="N229">
        <v>45.39</v>
      </c>
      <c r="O229">
        <v>0.122</v>
      </c>
      <c r="P229" t="s">
        <v>22</v>
      </c>
      <c r="Q229" t="s">
        <v>46</v>
      </c>
    </row>
    <row r="230" spans="1:18" x14ac:dyDescent="0.25">
      <c r="A230" s="1">
        <v>46177</v>
      </c>
      <c r="B230" t="s">
        <v>51</v>
      </c>
      <c r="C230" t="s">
        <v>48</v>
      </c>
      <c r="D230" t="s">
        <v>43</v>
      </c>
      <c r="E230" t="s">
        <v>33</v>
      </c>
      <c r="F230" t="s">
        <v>32</v>
      </c>
      <c r="G230">
        <v>34</v>
      </c>
      <c r="H230">
        <v>31</v>
      </c>
      <c r="I230">
        <v>3</v>
      </c>
      <c r="J230">
        <v>3</v>
      </c>
      <c r="K230">
        <v>93</v>
      </c>
      <c r="L230">
        <v>9</v>
      </c>
      <c r="M230">
        <v>1.94</v>
      </c>
      <c r="N230">
        <v>47.94</v>
      </c>
      <c r="O230">
        <v>8.8200000000000001E-2</v>
      </c>
      <c r="P230" t="s">
        <v>22</v>
      </c>
      <c r="Q230" t="s">
        <v>46</v>
      </c>
      <c r="R230" t="s">
        <v>47</v>
      </c>
    </row>
    <row r="231" spans="1:18" x14ac:dyDescent="0.25">
      <c r="A231" s="1">
        <v>46177</v>
      </c>
      <c r="B231" t="s">
        <v>51</v>
      </c>
      <c r="C231" t="s">
        <v>48</v>
      </c>
      <c r="D231" t="s">
        <v>43</v>
      </c>
      <c r="E231" t="s">
        <v>34</v>
      </c>
      <c r="F231" t="s">
        <v>32</v>
      </c>
      <c r="G231">
        <v>26</v>
      </c>
      <c r="H231">
        <v>23</v>
      </c>
      <c r="I231">
        <v>3</v>
      </c>
      <c r="J231">
        <v>3.5</v>
      </c>
      <c r="K231">
        <v>80.5</v>
      </c>
      <c r="L231">
        <v>10.5</v>
      </c>
      <c r="M231">
        <v>1.57</v>
      </c>
      <c r="N231">
        <v>51.27</v>
      </c>
      <c r="O231">
        <v>0.1154</v>
      </c>
      <c r="P231" t="s">
        <v>22</v>
      </c>
      <c r="Q231" t="s">
        <v>46</v>
      </c>
    </row>
    <row r="232" spans="1:18" x14ac:dyDescent="0.25">
      <c r="A232" s="1">
        <v>46177</v>
      </c>
      <c r="B232" t="s">
        <v>51</v>
      </c>
      <c r="C232" t="s">
        <v>48</v>
      </c>
      <c r="D232" t="s">
        <v>43</v>
      </c>
      <c r="E232" t="s">
        <v>37</v>
      </c>
      <c r="F232" t="s">
        <v>38</v>
      </c>
      <c r="G232">
        <v>97</v>
      </c>
      <c r="H232">
        <v>94</v>
      </c>
      <c r="I232">
        <v>3</v>
      </c>
      <c r="J232">
        <v>2.4</v>
      </c>
      <c r="K232">
        <v>225.6</v>
      </c>
      <c r="L232">
        <v>7.2</v>
      </c>
      <c r="M232">
        <v>1.85</v>
      </c>
      <c r="N232">
        <v>121.95</v>
      </c>
      <c r="O232">
        <v>3.09E-2</v>
      </c>
      <c r="P232" t="s">
        <v>22</v>
      </c>
      <c r="Q232" t="s">
        <v>46</v>
      </c>
    </row>
    <row r="233" spans="1:18" x14ac:dyDescent="0.25">
      <c r="A233" s="1">
        <v>46177</v>
      </c>
      <c r="B233" t="s">
        <v>51</v>
      </c>
      <c r="C233" t="s">
        <v>48</v>
      </c>
      <c r="D233" t="s">
        <v>43</v>
      </c>
      <c r="E233" t="s">
        <v>39</v>
      </c>
      <c r="F233" t="s">
        <v>38</v>
      </c>
      <c r="G233">
        <v>54</v>
      </c>
      <c r="H233">
        <v>52</v>
      </c>
      <c r="I233">
        <v>2</v>
      </c>
      <c r="J233">
        <v>1.8</v>
      </c>
      <c r="K233">
        <v>93.6</v>
      </c>
      <c r="L233">
        <v>3.6</v>
      </c>
      <c r="M233">
        <v>1.18</v>
      </c>
      <c r="N233">
        <v>79.319999999999993</v>
      </c>
      <c r="O233">
        <v>3.6999999999999998E-2</v>
      </c>
      <c r="P233" t="s">
        <v>22</v>
      </c>
      <c r="Q233" t="s">
        <v>46</v>
      </c>
      <c r="R233" t="s">
        <v>47</v>
      </c>
    </row>
    <row r="234" spans="1:18" x14ac:dyDescent="0.25">
      <c r="A234" s="1">
        <v>46177</v>
      </c>
      <c r="B234" t="s">
        <v>51</v>
      </c>
      <c r="C234" t="s">
        <v>48</v>
      </c>
      <c r="D234" t="s">
        <v>43</v>
      </c>
      <c r="E234" t="s">
        <v>40</v>
      </c>
      <c r="F234" t="s">
        <v>41</v>
      </c>
      <c r="G234">
        <v>42</v>
      </c>
      <c r="H234">
        <v>32</v>
      </c>
      <c r="I234">
        <v>10</v>
      </c>
      <c r="J234">
        <v>4.5999999999999996</v>
      </c>
      <c r="K234">
        <v>147.19999999999999</v>
      </c>
      <c r="L234">
        <v>46</v>
      </c>
      <c r="M234">
        <v>2.82</v>
      </c>
      <c r="N234">
        <v>52.2</v>
      </c>
      <c r="O234">
        <v>0.23810000000000001</v>
      </c>
      <c r="P234" t="s">
        <v>35</v>
      </c>
      <c r="Q234" t="s">
        <v>46</v>
      </c>
      <c r="R234" t="s">
        <v>24</v>
      </c>
    </row>
    <row r="235" spans="1:18" x14ac:dyDescent="0.25">
      <c r="A235" s="1">
        <v>46177</v>
      </c>
      <c r="B235" t="s">
        <v>51</v>
      </c>
      <c r="C235" t="s">
        <v>48</v>
      </c>
      <c r="D235" t="s">
        <v>43</v>
      </c>
      <c r="E235" t="s">
        <v>42</v>
      </c>
      <c r="F235" t="s">
        <v>41</v>
      </c>
      <c r="G235">
        <v>26</v>
      </c>
      <c r="H235">
        <v>22</v>
      </c>
      <c r="I235">
        <v>4</v>
      </c>
      <c r="J235">
        <v>4.8</v>
      </c>
      <c r="K235">
        <v>105.6</v>
      </c>
      <c r="L235">
        <v>19.2</v>
      </c>
      <c r="M235">
        <v>1.71</v>
      </c>
      <c r="N235">
        <v>61.75</v>
      </c>
      <c r="O235">
        <v>0.15379999999999999</v>
      </c>
      <c r="P235" t="s">
        <v>22</v>
      </c>
      <c r="Q235" t="s">
        <v>46</v>
      </c>
    </row>
    <row r="236" spans="1:18" x14ac:dyDescent="0.25">
      <c r="A236" s="1">
        <v>46178</v>
      </c>
      <c r="B236" t="s">
        <v>51</v>
      </c>
      <c r="C236" t="s">
        <v>50</v>
      </c>
      <c r="D236" t="s">
        <v>19</v>
      </c>
      <c r="E236" t="s">
        <v>20</v>
      </c>
      <c r="F236" t="s">
        <v>21</v>
      </c>
      <c r="G236">
        <v>97</v>
      </c>
      <c r="H236">
        <v>97</v>
      </c>
      <c r="I236">
        <v>0</v>
      </c>
      <c r="J236">
        <v>2.5</v>
      </c>
      <c r="K236">
        <v>242.5</v>
      </c>
      <c r="L236">
        <v>0</v>
      </c>
      <c r="M236">
        <v>4.67</v>
      </c>
      <c r="N236">
        <v>51.93</v>
      </c>
      <c r="O236">
        <v>0</v>
      </c>
      <c r="P236" t="s">
        <v>35</v>
      </c>
      <c r="Q236" t="s">
        <v>46</v>
      </c>
      <c r="R236" t="s">
        <v>47</v>
      </c>
    </row>
    <row r="237" spans="1:18" x14ac:dyDescent="0.25">
      <c r="A237" s="1">
        <v>46178</v>
      </c>
      <c r="B237" t="s">
        <v>51</v>
      </c>
      <c r="C237" t="s">
        <v>50</v>
      </c>
      <c r="D237" t="s">
        <v>19</v>
      </c>
      <c r="E237" t="s">
        <v>25</v>
      </c>
      <c r="F237" t="s">
        <v>21</v>
      </c>
      <c r="G237">
        <v>77</v>
      </c>
      <c r="H237">
        <v>66</v>
      </c>
      <c r="I237">
        <v>11</v>
      </c>
      <c r="J237">
        <v>2.8</v>
      </c>
      <c r="K237">
        <v>184.8</v>
      </c>
      <c r="L237">
        <v>30.8</v>
      </c>
      <c r="M237">
        <v>3.76</v>
      </c>
      <c r="N237">
        <v>49.15</v>
      </c>
      <c r="O237">
        <v>0.1429</v>
      </c>
      <c r="P237" t="s">
        <v>22</v>
      </c>
      <c r="Q237" t="s">
        <v>46</v>
      </c>
      <c r="R237" t="s">
        <v>24</v>
      </c>
    </row>
    <row r="238" spans="1:18" x14ac:dyDescent="0.25">
      <c r="A238" s="1">
        <v>46178</v>
      </c>
      <c r="B238" t="s">
        <v>51</v>
      </c>
      <c r="C238" t="s">
        <v>50</v>
      </c>
      <c r="D238" t="s">
        <v>19</v>
      </c>
      <c r="E238" t="s">
        <v>26</v>
      </c>
      <c r="F238" t="s">
        <v>21</v>
      </c>
      <c r="G238">
        <v>61</v>
      </c>
      <c r="H238">
        <v>43</v>
      </c>
      <c r="I238">
        <v>18</v>
      </c>
      <c r="J238">
        <v>3.1</v>
      </c>
      <c r="K238">
        <v>133.30000000000001</v>
      </c>
      <c r="L238">
        <v>55.8</v>
      </c>
      <c r="M238">
        <v>2.96</v>
      </c>
      <c r="N238">
        <v>45.03</v>
      </c>
      <c r="O238">
        <v>0.29509999999999997</v>
      </c>
      <c r="P238" t="s">
        <v>22</v>
      </c>
      <c r="Q238" t="s">
        <v>46</v>
      </c>
      <c r="R238" t="s">
        <v>24</v>
      </c>
    </row>
    <row r="239" spans="1:18" x14ac:dyDescent="0.25">
      <c r="A239" s="1">
        <v>46178</v>
      </c>
      <c r="B239" t="s">
        <v>51</v>
      </c>
      <c r="C239" t="s">
        <v>50</v>
      </c>
      <c r="D239" t="s">
        <v>19</v>
      </c>
      <c r="E239" t="s">
        <v>27</v>
      </c>
      <c r="F239" t="s">
        <v>28</v>
      </c>
      <c r="G239">
        <v>49</v>
      </c>
      <c r="H239">
        <v>42</v>
      </c>
      <c r="I239">
        <v>7</v>
      </c>
      <c r="J239">
        <v>4.2</v>
      </c>
      <c r="K239">
        <v>176.4</v>
      </c>
      <c r="L239">
        <v>29.4</v>
      </c>
      <c r="M239">
        <v>3.66</v>
      </c>
      <c r="N239">
        <v>48.2</v>
      </c>
      <c r="O239">
        <v>0.1429</v>
      </c>
      <c r="P239" t="s">
        <v>22</v>
      </c>
      <c r="Q239" t="s">
        <v>46</v>
      </c>
      <c r="R239" t="s">
        <v>47</v>
      </c>
    </row>
    <row r="240" spans="1:18" x14ac:dyDescent="0.25">
      <c r="A240" s="1">
        <v>46178</v>
      </c>
      <c r="B240" t="s">
        <v>51</v>
      </c>
      <c r="C240" t="s">
        <v>50</v>
      </c>
      <c r="D240" t="s">
        <v>19</v>
      </c>
      <c r="E240" t="s">
        <v>29</v>
      </c>
      <c r="F240" t="s">
        <v>28</v>
      </c>
      <c r="G240">
        <v>69</v>
      </c>
      <c r="H240">
        <v>50</v>
      </c>
      <c r="I240">
        <v>19</v>
      </c>
      <c r="J240">
        <v>2.2999999999999998</v>
      </c>
      <c r="K240">
        <v>115</v>
      </c>
      <c r="L240">
        <v>43.7</v>
      </c>
      <c r="M240">
        <v>4.95</v>
      </c>
      <c r="N240">
        <v>23.23</v>
      </c>
      <c r="O240">
        <v>0.27539999999999998</v>
      </c>
      <c r="P240" t="s">
        <v>22</v>
      </c>
      <c r="Q240" t="s">
        <v>46</v>
      </c>
      <c r="R240" t="s">
        <v>24</v>
      </c>
    </row>
    <row r="241" spans="1:18" x14ac:dyDescent="0.25">
      <c r="A241" s="1">
        <v>46178</v>
      </c>
      <c r="B241" t="s">
        <v>51</v>
      </c>
      <c r="C241" t="s">
        <v>50</v>
      </c>
      <c r="D241" t="s">
        <v>19</v>
      </c>
      <c r="E241" t="s">
        <v>30</v>
      </c>
      <c r="F241" t="s">
        <v>28</v>
      </c>
      <c r="G241">
        <v>36</v>
      </c>
      <c r="H241">
        <v>29</v>
      </c>
      <c r="I241">
        <v>7</v>
      </c>
      <c r="J241">
        <v>3.8</v>
      </c>
      <c r="K241">
        <v>110.2</v>
      </c>
      <c r="L241">
        <v>26.6</v>
      </c>
      <c r="M241">
        <v>2.84</v>
      </c>
      <c r="N241">
        <v>38.799999999999997</v>
      </c>
      <c r="O241">
        <v>0.19439999999999999</v>
      </c>
      <c r="P241" t="s">
        <v>22</v>
      </c>
      <c r="Q241" t="s">
        <v>46</v>
      </c>
      <c r="R241" t="s">
        <v>47</v>
      </c>
    </row>
    <row r="242" spans="1:18" x14ac:dyDescent="0.25">
      <c r="A242" s="1">
        <v>46178</v>
      </c>
      <c r="B242" t="s">
        <v>51</v>
      </c>
      <c r="C242" t="s">
        <v>50</v>
      </c>
      <c r="D242" t="s">
        <v>19</v>
      </c>
      <c r="E242" t="s">
        <v>31</v>
      </c>
      <c r="F242" t="s">
        <v>32</v>
      </c>
      <c r="G242">
        <v>56</v>
      </c>
      <c r="H242">
        <v>55</v>
      </c>
      <c r="I242">
        <v>1</v>
      </c>
      <c r="J242">
        <v>2.9</v>
      </c>
      <c r="K242">
        <v>159.5</v>
      </c>
      <c r="L242">
        <v>2.9</v>
      </c>
      <c r="M242">
        <v>3.12</v>
      </c>
      <c r="N242">
        <v>51.12</v>
      </c>
      <c r="O242">
        <v>1.7899999999999999E-2</v>
      </c>
      <c r="P242" t="s">
        <v>22</v>
      </c>
      <c r="Q242" t="s">
        <v>46</v>
      </c>
      <c r="R242" t="s">
        <v>47</v>
      </c>
    </row>
    <row r="243" spans="1:18" x14ac:dyDescent="0.25">
      <c r="A243" s="1">
        <v>46178</v>
      </c>
      <c r="B243" t="s">
        <v>51</v>
      </c>
      <c r="C243" t="s">
        <v>50</v>
      </c>
      <c r="D243" t="s">
        <v>19</v>
      </c>
      <c r="E243" t="s">
        <v>33</v>
      </c>
      <c r="F243" t="s">
        <v>32</v>
      </c>
      <c r="G243">
        <v>50</v>
      </c>
      <c r="H243">
        <v>39</v>
      </c>
      <c r="I243">
        <v>11</v>
      </c>
      <c r="J243">
        <v>3</v>
      </c>
      <c r="K243">
        <v>117</v>
      </c>
      <c r="L243">
        <v>33</v>
      </c>
      <c r="M243">
        <v>2.83</v>
      </c>
      <c r="N243">
        <v>41.34</v>
      </c>
      <c r="O243">
        <v>0.22</v>
      </c>
      <c r="P243" t="s">
        <v>22</v>
      </c>
      <c r="Q243" t="s">
        <v>46</v>
      </c>
      <c r="R243" t="s">
        <v>24</v>
      </c>
    </row>
    <row r="244" spans="1:18" x14ac:dyDescent="0.25">
      <c r="A244" s="1">
        <v>46178</v>
      </c>
      <c r="B244" t="s">
        <v>51</v>
      </c>
      <c r="C244" t="s">
        <v>50</v>
      </c>
      <c r="D244" t="s">
        <v>19</v>
      </c>
      <c r="E244" t="s">
        <v>34</v>
      </c>
      <c r="F244" t="s">
        <v>32</v>
      </c>
      <c r="G244">
        <v>40</v>
      </c>
      <c r="H244">
        <v>31</v>
      </c>
      <c r="I244">
        <v>9</v>
      </c>
      <c r="J244">
        <v>3.5</v>
      </c>
      <c r="K244">
        <v>108.5</v>
      </c>
      <c r="L244">
        <v>31.5</v>
      </c>
      <c r="M244">
        <v>2.3199999999999998</v>
      </c>
      <c r="N244">
        <v>46.77</v>
      </c>
      <c r="O244">
        <v>0.22500000000000001</v>
      </c>
      <c r="P244" t="s">
        <v>22</v>
      </c>
      <c r="Q244" t="s">
        <v>46</v>
      </c>
      <c r="R244" t="s">
        <v>47</v>
      </c>
    </row>
    <row r="245" spans="1:18" x14ac:dyDescent="0.25">
      <c r="A245" s="1">
        <v>46178</v>
      </c>
      <c r="B245" t="s">
        <v>51</v>
      </c>
      <c r="C245" t="s">
        <v>50</v>
      </c>
      <c r="D245" t="s">
        <v>19</v>
      </c>
      <c r="E245" t="s">
        <v>37</v>
      </c>
      <c r="F245" t="s">
        <v>38</v>
      </c>
      <c r="G245">
        <v>149</v>
      </c>
      <c r="H245">
        <v>141</v>
      </c>
      <c r="I245">
        <v>8</v>
      </c>
      <c r="J245">
        <v>2.4</v>
      </c>
      <c r="K245">
        <v>338.4</v>
      </c>
      <c r="L245">
        <v>19.2</v>
      </c>
      <c r="M245">
        <v>2.95</v>
      </c>
      <c r="N245">
        <v>114.71</v>
      </c>
      <c r="O245">
        <v>5.3699999999999998E-2</v>
      </c>
      <c r="P245" t="s">
        <v>22</v>
      </c>
      <c r="Q245" t="s">
        <v>46</v>
      </c>
      <c r="R245" t="s">
        <v>47</v>
      </c>
    </row>
    <row r="246" spans="1:18" x14ac:dyDescent="0.25">
      <c r="A246" s="1">
        <v>46178</v>
      </c>
      <c r="B246" t="s">
        <v>51</v>
      </c>
      <c r="C246" t="s">
        <v>50</v>
      </c>
      <c r="D246" t="s">
        <v>19</v>
      </c>
      <c r="E246" t="s">
        <v>39</v>
      </c>
      <c r="F246" t="s">
        <v>38</v>
      </c>
      <c r="G246">
        <v>89</v>
      </c>
      <c r="H246">
        <v>85</v>
      </c>
      <c r="I246">
        <v>4</v>
      </c>
      <c r="J246">
        <v>1.8</v>
      </c>
      <c r="K246">
        <v>153</v>
      </c>
      <c r="L246">
        <v>7.2</v>
      </c>
      <c r="M246">
        <v>1.7</v>
      </c>
      <c r="N246">
        <v>90</v>
      </c>
      <c r="O246">
        <v>4.4900000000000002E-2</v>
      </c>
      <c r="P246" t="s">
        <v>35</v>
      </c>
      <c r="Q246" t="s">
        <v>46</v>
      </c>
      <c r="R246" t="s">
        <v>47</v>
      </c>
    </row>
    <row r="247" spans="1:18" x14ac:dyDescent="0.25">
      <c r="A247" s="1">
        <v>46178</v>
      </c>
      <c r="B247" t="s">
        <v>51</v>
      </c>
      <c r="C247" t="s">
        <v>50</v>
      </c>
      <c r="D247" t="s">
        <v>19</v>
      </c>
      <c r="E247" t="s">
        <v>40</v>
      </c>
      <c r="F247" t="s">
        <v>41</v>
      </c>
      <c r="G247">
        <v>50</v>
      </c>
      <c r="H247">
        <v>46</v>
      </c>
      <c r="I247">
        <v>4</v>
      </c>
      <c r="J247">
        <v>4.5999999999999996</v>
      </c>
      <c r="K247">
        <v>211.6</v>
      </c>
      <c r="L247">
        <v>18.399999999999999</v>
      </c>
      <c r="M247">
        <v>3.17</v>
      </c>
      <c r="N247">
        <v>66.75</v>
      </c>
      <c r="O247">
        <v>0.08</v>
      </c>
      <c r="P247" t="s">
        <v>22</v>
      </c>
      <c r="Q247" t="s">
        <v>46</v>
      </c>
      <c r="R247" t="s">
        <v>47</v>
      </c>
    </row>
    <row r="248" spans="1:18" x14ac:dyDescent="0.25">
      <c r="A248" s="1">
        <v>46178</v>
      </c>
      <c r="B248" t="s">
        <v>51</v>
      </c>
      <c r="C248" t="s">
        <v>50</v>
      </c>
      <c r="D248" t="s">
        <v>19</v>
      </c>
      <c r="E248" t="s">
        <v>42</v>
      </c>
      <c r="F248" t="s">
        <v>41</v>
      </c>
      <c r="G248">
        <v>38</v>
      </c>
      <c r="H248">
        <v>34</v>
      </c>
      <c r="I248">
        <v>4</v>
      </c>
      <c r="J248">
        <v>4.8</v>
      </c>
      <c r="K248">
        <v>163.19999999999999</v>
      </c>
      <c r="L248">
        <v>19.2</v>
      </c>
      <c r="M248">
        <v>2.46</v>
      </c>
      <c r="N248">
        <v>66.34</v>
      </c>
      <c r="O248">
        <v>0.1053</v>
      </c>
      <c r="P248" t="s">
        <v>35</v>
      </c>
      <c r="Q248" t="s">
        <v>46</v>
      </c>
      <c r="R248" t="s">
        <v>47</v>
      </c>
    </row>
    <row r="249" spans="1:18" x14ac:dyDescent="0.25">
      <c r="A249" s="1">
        <v>46178</v>
      </c>
      <c r="B249" t="s">
        <v>51</v>
      </c>
      <c r="C249" t="s">
        <v>50</v>
      </c>
      <c r="D249" t="s">
        <v>43</v>
      </c>
      <c r="E249" t="s">
        <v>20</v>
      </c>
      <c r="F249" t="s">
        <v>21</v>
      </c>
      <c r="G249">
        <v>87</v>
      </c>
      <c r="H249">
        <v>63</v>
      </c>
      <c r="I249">
        <v>24</v>
      </c>
      <c r="J249">
        <v>2.5</v>
      </c>
      <c r="K249">
        <v>157.5</v>
      </c>
      <c r="L249">
        <v>60</v>
      </c>
      <c r="M249">
        <v>4.17</v>
      </c>
      <c r="N249">
        <v>37.770000000000003</v>
      </c>
      <c r="O249">
        <v>0.27589999999999998</v>
      </c>
      <c r="P249" t="s">
        <v>35</v>
      </c>
      <c r="Q249" t="s">
        <v>46</v>
      </c>
      <c r="R249" t="s">
        <v>24</v>
      </c>
    </row>
    <row r="250" spans="1:18" x14ac:dyDescent="0.25">
      <c r="A250" s="1">
        <v>46178</v>
      </c>
      <c r="B250" t="s">
        <v>51</v>
      </c>
      <c r="C250" t="s">
        <v>50</v>
      </c>
      <c r="D250" t="s">
        <v>43</v>
      </c>
      <c r="E250" t="s">
        <v>25</v>
      </c>
      <c r="F250" t="s">
        <v>21</v>
      </c>
      <c r="G250">
        <v>61</v>
      </c>
      <c r="H250">
        <v>46</v>
      </c>
      <c r="I250">
        <v>15</v>
      </c>
      <c r="J250">
        <v>2.8</v>
      </c>
      <c r="K250">
        <v>128.80000000000001</v>
      </c>
      <c r="L250">
        <v>42</v>
      </c>
      <c r="M250">
        <v>2.91</v>
      </c>
      <c r="N250">
        <v>44.26</v>
      </c>
      <c r="O250">
        <v>0.24590000000000001</v>
      </c>
      <c r="P250" t="s">
        <v>22</v>
      </c>
      <c r="Q250" t="s">
        <v>46</v>
      </c>
      <c r="R250" t="s">
        <v>24</v>
      </c>
    </row>
    <row r="251" spans="1:18" x14ac:dyDescent="0.25">
      <c r="A251" s="1">
        <v>46178</v>
      </c>
      <c r="B251" t="s">
        <v>51</v>
      </c>
      <c r="C251" t="s">
        <v>50</v>
      </c>
      <c r="D251" t="s">
        <v>43</v>
      </c>
      <c r="E251" t="s">
        <v>26</v>
      </c>
      <c r="F251" t="s">
        <v>21</v>
      </c>
      <c r="G251">
        <v>42</v>
      </c>
      <c r="H251">
        <v>41</v>
      </c>
      <c r="I251">
        <v>1</v>
      </c>
      <c r="J251">
        <v>3.1</v>
      </c>
      <c r="K251">
        <v>127.1</v>
      </c>
      <c r="L251">
        <v>3.1</v>
      </c>
      <c r="M251">
        <v>2.08</v>
      </c>
      <c r="N251">
        <v>61.11</v>
      </c>
      <c r="O251">
        <v>2.3800000000000002E-2</v>
      </c>
      <c r="P251" t="s">
        <v>22</v>
      </c>
      <c r="Q251" t="s">
        <v>46</v>
      </c>
      <c r="R251" t="s">
        <v>47</v>
      </c>
    </row>
    <row r="252" spans="1:18" x14ac:dyDescent="0.25">
      <c r="A252" s="1">
        <v>46178</v>
      </c>
      <c r="B252" t="s">
        <v>51</v>
      </c>
      <c r="C252" t="s">
        <v>50</v>
      </c>
      <c r="D252" t="s">
        <v>43</v>
      </c>
      <c r="E252" t="s">
        <v>27</v>
      </c>
      <c r="F252" t="s">
        <v>28</v>
      </c>
      <c r="G252">
        <v>38</v>
      </c>
      <c r="H252">
        <v>32</v>
      </c>
      <c r="I252">
        <v>6</v>
      </c>
      <c r="J252">
        <v>4.2</v>
      </c>
      <c r="K252">
        <v>134.4</v>
      </c>
      <c r="L252">
        <v>25.2</v>
      </c>
      <c r="M252">
        <v>2.72</v>
      </c>
      <c r="N252">
        <v>49.41</v>
      </c>
      <c r="O252">
        <v>0.15790000000000001</v>
      </c>
      <c r="P252" t="s">
        <v>22</v>
      </c>
      <c r="Q252" t="s">
        <v>46</v>
      </c>
      <c r="R252" t="s">
        <v>47</v>
      </c>
    </row>
    <row r="253" spans="1:18" x14ac:dyDescent="0.25">
      <c r="A253" s="1">
        <v>46178</v>
      </c>
      <c r="B253" t="s">
        <v>51</v>
      </c>
      <c r="C253" t="s">
        <v>50</v>
      </c>
      <c r="D253" t="s">
        <v>43</v>
      </c>
      <c r="E253" t="s">
        <v>29</v>
      </c>
      <c r="F253" t="s">
        <v>28</v>
      </c>
      <c r="G253">
        <v>48</v>
      </c>
      <c r="H253">
        <v>39</v>
      </c>
      <c r="I253">
        <v>9</v>
      </c>
      <c r="J253">
        <v>2.2999999999999998</v>
      </c>
      <c r="K253">
        <v>89.7</v>
      </c>
      <c r="L253">
        <v>20.7</v>
      </c>
      <c r="M253">
        <v>3.58</v>
      </c>
      <c r="N253">
        <v>25.06</v>
      </c>
      <c r="O253">
        <v>0.1875</v>
      </c>
      <c r="P253" t="s">
        <v>22</v>
      </c>
      <c r="Q253" t="s">
        <v>46</v>
      </c>
      <c r="R253" t="s">
        <v>47</v>
      </c>
    </row>
    <row r="254" spans="1:18" x14ac:dyDescent="0.25">
      <c r="A254" s="1">
        <v>46178</v>
      </c>
      <c r="B254" t="s">
        <v>51</v>
      </c>
      <c r="C254" t="s">
        <v>50</v>
      </c>
      <c r="D254" t="s">
        <v>43</v>
      </c>
      <c r="E254" t="s">
        <v>30</v>
      </c>
      <c r="F254" t="s">
        <v>28</v>
      </c>
      <c r="G254">
        <v>28</v>
      </c>
      <c r="H254">
        <v>21</v>
      </c>
      <c r="I254">
        <v>7</v>
      </c>
      <c r="J254">
        <v>3.8</v>
      </c>
      <c r="K254">
        <v>79.8</v>
      </c>
      <c r="L254">
        <v>26.6</v>
      </c>
      <c r="M254">
        <v>2.0699999999999998</v>
      </c>
      <c r="N254">
        <v>38.549999999999997</v>
      </c>
      <c r="O254">
        <v>0.25</v>
      </c>
      <c r="P254" t="s">
        <v>22</v>
      </c>
      <c r="Q254" t="s">
        <v>46</v>
      </c>
      <c r="R254" t="s">
        <v>47</v>
      </c>
    </row>
    <row r="255" spans="1:18" x14ac:dyDescent="0.25">
      <c r="A255" s="1">
        <v>46178</v>
      </c>
      <c r="B255" t="s">
        <v>51</v>
      </c>
      <c r="C255" t="s">
        <v>50</v>
      </c>
      <c r="D255" t="s">
        <v>43</v>
      </c>
      <c r="E255" t="s">
        <v>31</v>
      </c>
      <c r="F255" t="s">
        <v>32</v>
      </c>
      <c r="G255">
        <v>52</v>
      </c>
      <c r="H255">
        <v>42</v>
      </c>
      <c r="I255">
        <v>10</v>
      </c>
      <c r="J255">
        <v>2.9</v>
      </c>
      <c r="K255">
        <v>121.8</v>
      </c>
      <c r="L255">
        <v>29</v>
      </c>
      <c r="M255">
        <v>2.92</v>
      </c>
      <c r="N255">
        <v>41.71</v>
      </c>
      <c r="O255">
        <v>0.1923</v>
      </c>
      <c r="P255" t="s">
        <v>35</v>
      </c>
      <c r="Q255" t="s">
        <v>46</v>
      </c>
      <c r="R255" t="s">
        <v>24</v>
      </c>
    </row>
    <row r="256" spans="1:18" x14ac:dyDescent="0.25">
      <c r="A256" s="1">
        <v>46178</v>
      </c>
      <c r="B256" t="s">
        <v>51</v>
      </c>
      <c r="C256" t="s">
        <v>50</v>
      </c>
      <c r="D256" t="s">
        <v>43</v>
      </c>
      <c r="E256" t="s">
        <v>33</v>
      </c>
      <c r="F256" t="s">
        <v>32</v>
      </c>
      <c r="G256">
        <v>42</v>
      </c>
      <c r="H256">
        <v>31</v>
      </c>
      <c r="I256">
        <v>11</v>
      </c>
      <c r="J256">
        <v>3</v>
      </c>
      <c r="K256">
        <v>93</v>
      </c>
      <c r="L256">
        <v>33</v>
      </c>
      <c r="M256">
        <v>2.19</v>
      </c>
      <c r="N256">
        <v>42.47</v>
      </c>
      <c r="O256">
        <v>0.26190000000000002</v>
      </c>
      <c r="P256" t="s">
        <v>22</v>
      </c>
      <c r="Q256" t="s">
        <v>46</v>
      </c>
      <c r="R256" t="s">
        <v>24</v>
      </c>
    </row>
    <row r="257" spans="1:18" x14ac:dyDescent="0.25">
      <c r="A257" s="1">
        <v>46178</v>
      </c>
      <c r="B257" t="s">
        <v>51</v>
      </c>
      <c r="C257" t="s">
        <v>50</v>
      </c>
      <c r="D257" t="s">
        <v>43</v>
      </c>
      <c r="E257" t="s">
        <v>34</v>
      </c>
      <c r="F257" t="s">
        <v>32</v>
      </c>
      <c r="G257">
        <v>30</v>
      </c>
      <c r="H257">
        <v>28</v>
      </c>
      <c r="I257">
        <v>2</v>
      </c>
      <c r="J257">
        <v>3.5</v>
      </c>
      <c r="K257">
        <v>98</v>
      </c>
      <c r="L257">
        <v>7</v>
      </c>
      <c r="M257">
        <v>1.56</v>
      </c>
      <c r="N257">
        <v>62.82</v>
      </c>
      <c r="O257">
        <v>6.6699999999999995E-2</v>
      </c>
      <c r="P257" t="s">
        <v>22</v>
      </c>
      <c r="Q257" t="s">
        <v>46</v>
      </c>
      <c r="R257" t="s">
        <v>47</v>
      </c>
    </row>
    <row r="258" spans="1:18" x14ac:dyDescent="0.25">
      <c r="A258" s="1">
        <v>46178</v>
      </c>
      <c r="B258" t="s">
        <v>51</v>
      </c>
      <c r="C258" t="s">
        <v>50</v>
      </c>
      <c r="D258" t="s">
        <v>43</v>
      </c>
      <c r="E258" t="s">
        <v>37</v>
      </c>
      <c r="F258" t="s">
        <v>38</v>
      </c>
      <c r="G258">
        <v>115</v>
      </c>
      <c r="H258">
        <v>100</v>
      </c>
      <c r="I258">
        <v>15</v>
      </c>
      <c r="J258">
        <v>2.4</v>
      </c>
      <c r="K258">
        <v>240</v>
      </c>
      <c r="L258">
        <v>36</v>
      </c>
      <c r="M258">
        <v>2.2200000000000002</v>
      </c>
      <c r="N258">
        <v>108.11</v>
      </c>
      <c r="O258">
        <v>0.13039999999999999</v>
      </c>
      <c r="P258" t="s">
        <v>22</v>
      </c>
      <c r="Q258" t="s">
        <v>46</v>
      </c>
      <c r="R258" t="s">
        <v>47</v>
      </c>
    </row>
    <row r="259" spans="1:18" x14ac:dyDescent="0.25">
      <c r="A259" s="1">
        <v>46178</v>
      </c>
      <c r="B259" t="s">
        <v>51</v>
      </c>
      <c r="C259" t="s">
        <v>50</v>
      </c>
      <c r="D259" t="s">
        <v>43</v>
      </c>
      <c r="E259" t="s">
        <v>39</v>
      </c>
      <c r="F259" t="s">
        <v>38</v>
      </c>
      <c r="G259">
        <v>60</v>
      </c>
      <c r="H259">
        <v>59</v>
      </c>
      <c r="I259">
        <v>1</v>
      </c>
      <c r="J259">
        <v>1.8</v>
      </c>
      <c r="K259">
        <v>106.2</v>
      </c>
      <c r="L259">
        <v>1.8</v>
      </c>
      <c r="M259">
        <v>1.29</v>
      </c>
      <c r="N259">
        <v>82.33</v>
      </c>
      <c r="O259">
        <v>1.67E-2</v>
      </c>
      <c r="P259" t="s">
        <v>22</v>
      </c>
      <c r="Q259" t="s">
        <v>46</v>
      </c>
      <c r="R259" t="s">
        <v>47</v>
      </c>
    </row>
    <row r="260" spans="1:18" x14ac:dyDescent="0.25">
      <c r="A260" s="1">
        <v>46178</v>
      </c>
      <c r="B260" t="s">
        <v>51</v>
      </c>
      <c r="C260" t="s">
        <v>50</v>
      </c>
      <c r="D260" t="s">
        <v>43</v>
      </c>
      <c r="E260" t="s">
        <v>40</v>
      </c>
      <c r="F260" t="s">
        <v>41</v>
      </c>
      <c r="G260">
        <v>42</v>
      </c>
      <c r="H260">
        <v>38</v>
      </c>
      <c r="I260">
        <v>4</v>
      </c>
      <c r="J260">
        <v>4.5999999999999996</v>
      </c>
      <c r="K260">
        <v>174.8</v>
      </c>
      <c r="L260">
        <v>18.399999999999999</v>
      </c>
      <c r="M260">
        <v>2.72</v>
      </c>
      <c r="N260">
        <v>64.260000000000005</v>
      </c>
      <c r="O260">
        <v>9.5200000000000007E-2</v>
      </c>
      <c r="P260" t="s">
        <v>22</v>
      </c>
      <c r="Q260" t="s">
        <v>46</v>
      </c>
      <c r="R260" t="s">
        <v>47</v>
      </c>
    </row>
    <row r="261" spans="1:18" x14ac:dyDescent="0.25">
      <c r="A261" s="1">
        <v>46178</v>
      </c>
      <c r="B261" t="s">
        <v>51</v>
      </c>
      <c r="C261" t="s">
        <v>50</v>
      </c>
      <c r="D261" t="s">
        <v>43</v>
      </c>
      <c r="E261" t="s">
        <v>42</v>
      </c>
      <c r="F261" t="s">
        <v>41</v>
      </c>
      <c r="G261">
        <v>29</v>
      </c>
      <c r="H261">
        <v>27</v>
      </c>
      <c r="I261">
        <v>2</v>
      </c>
      <c r="J261">
        <v>4.8</v>
      </c>
      <c r="K261">
        <v>129.6</v>
      </c>
      <c r="L261">
        <v>9.6</v>
      </c>
      <c r="M261">
        <v>1.8</v>
      </c>
      <c r="N261">
        <v>72</v>
      </c>
      <c r="O261">
        <v>6.9000000000000006E-2</v>
      </c>
      <c r="P261" t="s">
        <v>22</v>
      </c>
      <c r="Q261" t="s">
        <v>46</v>
      </c>
      <c r="R261" t="s">
        <v>47</v>
      </c>
    </row>
    <row r="262" spans="1:18" x14ac:dyDescent="0.25">
      <c r="A262" s="1">
        <v>46181</v>
      </c>
      <c r="B262" t="s">
        <v>53</v>
      </c>
      <c r="C262" t="s">
        <v>18</v>
      </c>
      <c r="D262" t="s">
        <v>19</v>
      </c>
      <c r="E262" t="s">
        <v>20</v>
      </c>
      <c r="F262" t="s">
        <v>21</v>
      </c>
      <c r="G262">
        <v>60</v>
      </c>
      <c r="H262">
        <v>50</v>
      </c>
      <c r="I262">
        <v>10</v>
      </c>
      <c r="J262">
        <v>2.5</v>
      </c>
      <c r="K262">
        <v>125</v>
      </c>
      <c r="L262">
        <v>25</v>
      </c>
      <c r="M262">
        <v>3.04</v>
      </c>
      <c r="N262">
        <v>41.12</v>
      </c>
      <c r="O262">
        <v>0.16669999999999999</v>
      </c>
      <c r="P262" t="s">
        <v>35</v>
      </c>
      <c r="Q262" t="s">
        <v>49</v>
      </c>
      <c r="R262" t="s">
        <v>24</v>
      </c>
    </row>
    <row r="263" spans="1:18" x14ac:dyDescent="0.25">
      <c r="A263" s="1">
        <v>46181</v>
      </c>
      <c r="B263" t="s">
        <v>53</v>
      </c>
      <c r="C263" t="s">
        <v>18</v>
      </c>
      <c r="D263" t="s">
        <v>19</v>
      </c>
      <c r="E263" t="s">
        <v>25</v>
      </c>
      <c r="F263" t="s">
        <v>21</v>
      </c>
      <c r="G263">
        <v>41</v>
      </c>
      <c r="H263">
        <v>34</v>
      </c>
      <c r="I263">
        <v>7</v>
      </c>
      <c r="J263">
        <v>2.8</v>
      </c>
      <c r="K263">
        <v>95.2</v>
      </c>
      <c r="L263">
        <v>19.600000000000001</v>
      </c>
      <c r="M263">
        <v>2.1</v>
      </c>
      <c r="N263">
        <v>45.33</v>
      </c>
      <c r="O263">
        <v>0.17069999999999999</v>
      </c>
      <c r="P263" t="s">
        <v>22</v>
      </c>
      <c r="Q263" t="s">
        <v>49</v>
      </c>
    </row>
    <row r="264" spans="1:18" x14ac:dyDescent="0.25">
      <c r="A264" s="1">
        <v>46181</v>
      </c>
      <c r="B264" t="s">
        <v>53</v>
      </c>
      <c r="C264" t="s">
        <v>18</v>
      </c>
      <c r="D264" t="s">
        <v>19</v>
      </c>
      <c r="E264" t="s">
        <v>26</v>
      </c>
      <c r="F264" t="s">
        <v>21</v>
      </c>
      <c r="G264">
        <v>35</v>
      </c>
      <c r="H264">
        <v>25</v>
      </c>
      <c r="I264">
        <v>10</v>
      </c>
      <c r="J264">
        <v>3.1</v>
      </c>
      <c r="K264">
        <v>77.5</v>
      </c>
      <c r="L264">
        <v>31</v>
      </c>
      <c r="M264">
        <v>1.65</v>
      </c>
      <c r="N264">
        <v>46.97</v>
      </c>
      <c r="O264">
        <v>0.28570000000000001</v>
      </c>
      <c r="P264" t="s">
        <v>22</v>
      </c>
      <c r="Q264" t="s">
        <v>49</v>
      </c>
      <c r="R264" t="s">
        <v>24</v>
      </c>
    </row>
    <row r="265" spans="1:18" x14ac:dyDescent="0.25">
      <c r="A265" s="1">
        <v>46181</v>
      </c>
      <c r="B265" t="s">
        <v>53</v>
      </c>
      <c r="C265" t="s">
        <v>18</v>
      </c>
      <c r="D265" t="s">
        <v>19</v>
      </c>
      <c r="E265" t="s">
        <v>27</v>
      </c>
      <c r="F265" t="s">
        <v>28</v>
      </c>
      <c r="G265">
        <v>25</v>
      </c>
      <c r="H265">
        <v>22</v>
      </c>
      <c r="I265">
        <v>3</v>
      </c>
      <c r="J265">
        <v>4.2</v>
      </c>
      <c r="K265">
        <v>92.4</v>
      </c>
      <c r="L265">
        <v>12.6</v>
      </c>
      <c r="M265">
        <v>1.99</v>
      </c>
      <c r="N265">
        <v>46.43</v>
      </c>
      <c r="O265">
        <v>0.12</v>
      </c>
      <c r="P265" t="s">
        <v>22</v>
      </c>
      <c r="Q265" t="s">
        <v>49</v>
      </c>
    </row>
    <row r="266" spans="1:18" x14ac:dyDescent="0.25">
      <c r="A266" s="1">
        <v>46181</v>
      </c>
      <c r="B266" t="s">
        <v>53</v>
      </c>
      <c r="C266" t="s">
        <v>18</v>
      </c>
      <c r="D266" t="s">
        <v>19</v>
      </c>
      <c r="E266" t="s">
        <v>29</v>
      </c>
      <c r="F266" t="s">
        <v>28</v>
      </c>
      <c r="G266">
        <v>36</v>
      </c>
      <c r="H266">
        <v>35</v>
      </c>
      <c r="I266">
        <v>1</v>
      </c>
      <c r="J266">
        <v>2.2999999999999998</v>
      </c>
      <c r="K266">
        <v>80.5</v>
      </c>
      <c r="L266">
        <v>2.2999999999999998</v>
      </c>
      <c r="M266">
        <v>2.73</v>
      </c>
      <c r="N266">
        <v>29.49</v>
      </c>
      <c r="O266">
        <v>2.7799999999999998E-2</v>
      </c>
      <c r="P266" t="s">
        <v>22</v>
      </c>
      <c r="Q266" t="s">
        <v>49</v>
      </c>
    </row>
    <row r="267" spans="1:18" x14ac:dyDescent="0.25">
      <c r="A267" s="1">
        <v>46181</v>
      </c>
      <c r="B267" t="s">
        <v>53</v>
      </c>
      <c r="C267" t="s">
        <v>18</v>
      </c>
      <c r="D267" t="s">
        <v>19</v>
      </c>
      <c r="E267" t="s">
        <v>30</v>
      </c>
      <c r="F267" t="s">
        <v>28</v>
      </c>
      <c r="G267">
        <v>20</v>
      </c>
      <c r="H267">
        <v>15</v>
      </c>
      <c r="I267">
        <v>5</v>
      </c>
      <c r="J267">
        <v>3.8</v>
      </c>
      <c r="K267">
        <v>57</v>
      </c>
      <c r="L267">
        <v>19</v>
      </c>
      <c r="M267">
        <v>1.66</v>
      </c>
      <c r="N267">
        <v>34.340000000000003</v>
      </c>
      <c r="O267">
        <v>0.25</v>
      </c>
      <c r="P267" t="s">
        <v>22</v>
      </c>
      <c r="Q267" t="s">
        <v>49</v>
      </c>
    </row>
    <row r="268" spans="1:18" x14ac:dyDescent="0.25">
      <c r="A268" s="1">
        <v>46181</v>
      </c>
      <c r="B268" t="s">
        <v>53</v>
      </c>
      <c r="C268" t="s">
        <v>18</v>
      </c>
      <c r="D268" t="s">
        <v>19</v>
      </c>
      <c r="E268" t="s">
        <v>31</v>
      </c>
      <c r="F268" t="s">
        <v>32</v>
      </c>
      <c r="G268">
        <v>36</v>
      </c>
      <c r="H268">
        <v>31</v>
      </c>
      <c r="I268">
        <v>5</v>
      </c>
      <c r="J268">
        <v>2.9</v>
      </c>
      <c r="K268">
        <v>89.9</v>
      </c>
      <c r="L268">
        <v>14.5</v>
      </c>
      <c r="M268">
        <v>2.0699999999999998</v>
      </c>
      <c r="N268">
        <v>43.43</v>
      </c>
      <c r="O268">
        <v>0.1389</v>
      </c>
      <c r="P268" t="s">
        <v>22</v>
      </c>
      <c r="Q268" t="s">
        <v>49</v>
      </c>
    </row>
    <row r="269" spans="1:18" x14ac:dyDescent="0.25">
      <c r="A269" s="1">
        <v>46181</v>
      </c>
      <c r="B269" t="s">
        <v>53</v>
      </c>
      <c r="C269" t="s">
        <v>18</v>
      </c>
      <c r="D269" t="s">
        <v>19</v>
      </c>
      <c r="E269" t="s">
        <v>33</v>
      </c>
      <c r="F269" t="s">
        <v>32</v>
      </c>
      <c r="G269">
        <v>29</v>
      </c>
      <c r="H269">
        <v>23</v>
      </c>
      <c r="I269">
        <v>6</v>
      </c>
      <c r="J269">
        <v>3</v>
      </c>
      <c r="K269">
        <v>69</v>
      </c>
      <c r="L269">
        <v>18</v>
      </c>
      <c r="M269">
        <v>1.6</v>
      </c>
      <c r="N269">
        <v>43.12</v>
      </c>
      <c r="O269">
        <v>0.2069</v>
      </c>
      <c r="P269" t="s">
        <v>22</v>
      </c>
      <c r="Q269" t="s">
        <v>49</v>
      </c>
    </row>
    <row r="270" spans="1:18" x14ac:dyDescent="0.25">
      <c r="A270" s="1">
        <v>46181</v>
      </c>
      <c r="B270" t="s">
        <v>53</v>
      </c>
      <c r="C270" t="s">
        <v>18</v>
      </c>
      <c r="D270" t="s">
        <v>19</v>
      </c>
      <c r="E270" t="s">
        <v>34</v>
      </c>
      <c r="F270" t="s">
        <v>32</v>
      </c>
      <c r="G270">
        <v>23</v>
      </c>
      <c r="H270">
        <v>18</v>
      </c>
      <c r="I270">
        <v>5</v>
      </c>
      <c r="J270">
        <v>3.5</v>
      </c>
      <c r="K270">
        <v>63</v>
      </c>
      <c r="L270">
        <v>17.5</v>
      </c>
      <c r="M270">
        <v>1.33</v>
      </c>
      <c r="N270">
        <v>47.37</v>
      </c>
      <c r="O270">
        <v>0.21740000000000001</v>
      </c>
      <c r="P270" t="s">
        <v>22</v>
      </c>
      <c r="Q270" t="s">
        <v>49</v>
      </c>
    </row>
    <row r="271" spans="1:18" x14ac:dyDescent="0.25">
      <c r="A271" s="1">
        <v>46181</v>
      </c>
      <c r="B271" t="s">
        <v>53</v>
      </c>
      <c r="C271" t="s">
        <v>18</v>
      </c>
      <c r="D271" t="s">
        <v>19</v>
      </c>
      <c r="E271" t="s">
        <v>37</v>
      </c>
      <c r="F271" t="s">
        <v>38</v>
      </c>
      <c r="G271">
        <v>80</v>
      </c>
      <c r="H271">
        <v>72</v>
      </c>
      <c r="I271">
        <v>8</v>
      </c>
      <c r="J271">
        <v>2.4</v>
      </c>
      <c r="K271">
        <v>172.8</v>
      </c>
      <c r="L271">
        <v>19.2</v>
      </c>
      <c r="M271">
        <v>1.77</v>
      </c>
      <c r="N271">
        <v>97.63</v>
      </c>
      <c r="O271">
        <v>0.1</v>
      </c>
      <c r="P271" t="s">
        <v>22</v>
      </c>
      <c r="Q271" t="s">
        <v>49</v>
      </c>
    </row>
    <row r="272" spans="1:18" x14ac:dyDescent="0.25">
      <c r="A272" s="1">
        <v>46181</v>
      </c>
      <c r="B272" t="s">
        <v>53</v>
      </c>
      <c r="C272" t="s">
        <v>18</v>
      </c>
      <c r="D272" t="s">
        <v>19</v>
      </c>
      <c r="E272" t="s">
        <v>39</v>
      </c>
      <c r="F272" t="s">
        <v>38</v>
      </c>
      <c r="G272">
        <v>43</v>
      </c>
      <c r="H272">
        <v>37</v>
      </c>
      <c r="I272">
        <v>6</v>
      </c>
      <c r="J272">
        <v>1.8</v>
      </c>
      <c r="K272">
        <v>66.599999999999994</v>
      </c>
      <c r="L272">
        <v>10.8</v>
      </c>
      <c r="M272">
        <v>0.85</v>
      </c>
      <c r="N272">
        <v>78.349999999999994</v>
      </c>
      <c r="O272">
        <v>0.13950000000000001</v>
      </c>
      <c r="P272" t="s">
        <v>22</v>
      </c>
      <c r="Q272" t="s">
        <v>49</v>
      </c>
    </row>
    <row r="273" spans="1:18" x14ac:dyDescent="0.25">
      <c r="A273" s="1">
        <v>46181</v>
      </c>
      <c r="B273" t="s">
        <v>53</v>
      </c>
      <c r="C273" t="s">
        <v>18</v>
      </c>
      <c r="D273" t="s">
        <v>19</v>
      </c>
      <c r="E273" t="s">
        <v>40</v>
      </c>
      <c r="F273" t="s">
        <v>41</v>
      </c>
      <c r="G273">
        <v>33</v>
      </c>
      <c r="H273">
        <v>27</v>
      </c>
      <c r="I273">
        <v>6</v>
      </c>
      <c r="J273">
        <v>4.5999999999999996</v>
      </c>
      <c r="K273">
        <v>124.2</v>
      </c>
      <c r="L273">
        <v>27.6</v>
      </c>
      <c r="M273">
        <v>2.21</v>
      </c>
      <c r="N273">
        <v>56.2</v>
      </c>
      <c r="O273">
        <v>0.18179999999999999</v>
      </c>
      <c r="P273" t="s">
        <v>22</v>
      </c>
      <c r="Q273" t="s">
        <v>49</v>
      </c>
    </row>
    <row r="274" spans="1:18" x14ac:dyDescent="0.25">
      <c r="A274" s="1">
        <v>46181</v>
      </c>
      <c r="B274" t="s">
        <v>53</v>
      </c>
      <c r="C274" t="s">
        <v>18</v>
      </c>
      <c r="D274" t="s">
        <v>19</v>
      </c>
      <c r="E274" t="s">
        <v>42</v>
      </c>
      <c r="F274" t="s">
        <v>41</v>
      </c>
      <c r="G274">
        <v>21</v>
      </c>
      <c r="H274">
        <v>17</v>
      </c>
      <c r="I274">
        <v>4</v>
      </c>
      <c r="J274">
        <v>4.8</v>
      </c>
      <c r="K274">
        <v>81.599999999999994</v>
      </c>
      <c r="L274">
        <v>19.2</v>
      </c>
      <c r="M274">
        <v>1.42</v>
      </c>
      <c r="N274">
        <v>57.46</v>
      </c>
      <c r="O274">
        <v>0.1905</v>
      </c>
      <c r="P274" t="s">
        <v>22</v>
      </c>
      <c r="Q274" t="s">
        <v>49</v>
      </c>
    </row>
    <row r="275" spans="1:18" x14ac:dyDescent="0.25">
      <c r="A275" s="1">
        <v>46181</v>
      </c>
      <c r="B275" t="s">
        <v>53</v>
      </c>
      <c r="C275" t="s">
        <v>18</v>
      </c>
      <c r="D275" t="s">
        <v>43</v>
      </c>
      <c r="E275" t="s">
        <v>20</v>
      </c>
      <c r="F275" t="s">
        <v>21</v>
      </c>
      <c r="G275">
        <v>44</v>
      </c>
      <c r="H275">
        <v>38</v>
      </c>
      <c r="I275">
        <v>6</v>
      </c>
      <c r="J275">
        <v>2.5</v>
      </c>
      <c r="K275">
        <v>95</v>
      </c>
      <c r="L275">
        <v>15</v>
      </c>
      <c r="M275">
        <v>2.25</v>
      </c>
      <c r="N275">
        <v>42.22</v>
      </c>
      <c r="O275">
        <v>0.13639999999999999</v>
      </c>
      <c r="P275" t="s">
        <v>22</v>
      </c>
      <c r="Q275" t="s">
        <v>49</v>
      </c>
    </row>
    <row r="276" spans="1:18" x14ac:dyDescent="0.25">
      <c r="A276" s="1">
        <v>46181</v>
      </c>
      <c r="B276" t="s">
        <v>53</v>
      </c>
      <c r="C276" t="s">
        <v>18</v>
      </c>
      <c r="D276" t="s">
        <v>43</v>
      </c>
      <c r="E276" t="s">
        <v>25</v>
      </c>
      <c r="F276" t="s">
        <v>21</v>
      </c>
      <c r="G276">
        <v>37</v>
      </c>
      <c r="H276">
        <v>29</v>
      </c>
      <c r="I276">
        <v>8</v>
      </c>
      <c r="J276">
        <v>2.8</v>
      </c>
      <c r="K276">
        <v>81.2</v>
      </c>
      <c r="L276">
        <v>22.4</v>
      </c>
      <c r="M276">
        <v>1.89</v>
      </c>
      <c r="N276">
        <v>42.96</v>
      </c>
      <c r="O276">
        <v>0.2162</v>
      </c>
      <c r="P276" t="s">
        <v>35</v>
      </c>
      <c r="Q276" t="s">
        <v>49</v>
      </c>
      <c r="R276" t="s">
        <v>36</v>
      </c>
    </row>
    <row r="277" spans="1:18" x14ac:dyDescent="0.25">
      <c r="A277" s="1">
        <v>46181</v>
      </c>
      <c r="B277" t="s">
        <v>53</v>
      </c>
      <c r="C277" t="s">
        <v>18</v>
      </c>
      <c r="D277" t="s">
        <v>43</v>
      </c>
      <c r="E277" t="s">
        <v>26</v>
      </c>
      <c r="F277" t="s">
        <v>21</v>
      </c>
      <c r="G277">
        <v>27</v>
      </c>
      <c r="H277">
        <v>21</v>
      </c>
      <c r="I277">
        <v>6</v>
      </c>
      <c r="J277">
        <v>3.1</v>
      </c>
      <c r="K277">
        <v>65.099999999999994</v>
      </c>
      <c r="L277">
        <v>18.600000000000001</v>
      </c>
      <c r="M277">
        <v>1.3</v>
      </c>
      <c r="N277">
        <v>50.08</v>
      </c>
      <c r="O277">
        <v>0.22220000000000001</v>
      </c>
      <c r="P277" t="s">
        <v>22</v>
      </c>
      <c r="Q277" t="s">
        <v>49</v>
      </c>
    </row>
    <row r="278" spans="1:18" x14ac:dyDescent="0.25">
      <c r="A278" s="1">
        <v>46181</v>
      </c>
      <c r="B278" t="s">
        <v>53</v>
      </c>
      <c r="C278" t="s">
        <v>18</v>
      </c>
      <c r="D278" t="s">
        <v>43</v>
      </c>
      <c r="E278" t="s">
        <v>27</v>
      </c>
      <c r="F278" t="s">
        <v>28</v>
      </c>
      <c r="G278">
        <v>21</v>
      </c>
      <c r="H278">
        <v>19</v>
      </c>
      <c r="I278">
        <v>2</v>
      </c>
      <c r="J278">
        <v>4.2</v>
      </c>
      <c r="K278">
        <v>79.8</v>
      </c>
      <c r="L278">
        <v>8.4</v>
      </c>
      <c r="M278">
        <v>1.69</v>
      </c>
      <c r="N278">
        <v>47.22</v>
      </c>
      <c r="O278">
        <v>9.5200000000000007E-2</v>
      </c>
      <c r="P278" t="s">
        <v>22</v>
      </c>
      <c r="Q278" t="s">
        <v>49</v>
      </c>
    </row>
    <row r="279" spans="1:18" x14ac:dyDescent="0.25">
      <c r="A279" s="1">
        <v>46181</v>
      </c>
      <c r="B279" t="s">
        <v>53</v>
      </c>
      <c r="C279" t="s">
        <v>18</v>
      </c>
      <c r="D279" t="s">
        <v>43</v>
      </c>
      <c r="E279" t="s">
        <v>29</v>
      </c>
      <c r="F279" t="s">
        <v>28</v>
      </c>
      <c r="G279">
        <v>31</v>
      </c>
      <c r="H279">
        <v>27</v>
      </c>
      <c r="I279">
        <v>4</v>
      </c>
      <c r="J279">
        <v>2.2999999999999998</v>
      </c>
      <c r="K279">
        <v>62.1</v>
      </c>
      <c r="L279">
        <v>9.1999999999999993</v>
      </c>
      <c r="M279">
        <v>2.4700000000000002</v>
      </c>
      <c r="N279">
        <v>25.14</v>
      </c>
      <c r="O279">
        <v>0.129</v>
      </c>
      <c r="P279" t="s">
        <v>22</v>
      </c>
      <c r="Q279" t="s">
        <v>49</v>
      </c>
    </row>
    <row r="280" spans="1:18" x14ac:dyDescent="0.25">
      <c r="A280" s="1">
        <v>46181</v>
      </c>
      <c r="B280" t="s">
        <v>53</v>
      </c>
      <c r="C280" t="s">
        <v>18</v>
      </c>
      <c r="D280" t="s">
        <v>43</v>
      </c>
      <c r="E280" t="s">
        <v>30</v>
      </c>
      <c r="F280" t="s">
        <v>28</v>
      </c>
      <c r="G280">
        <v>16</v>
      </c>
      <c r="H280">
        <v>12</v>
      </c>
      <c r="I280">
        <v>4</v>
      </c>
      <c r="J280">
        <v>3.8</v>
      </c>
      <c r="K280">
        <v>45.6</v>
      </c>
      <c r="L280">
        <v>15.2</v>
      </c>
      <c r="M280">
        <v>1.45</v>
      </c>
      <c r="N280">
        <v>31.45</v>
      </c>
      <c r="O280">
        <v>0.25</v>
      </c>
      <c r="P280" t="s">
        <v>22</v>
      </c>
      <c r="Q280" t="s">
        <v>49</v>
      </c>
    </row>
    <row r="281" spans="1:18" x14ac:dyDescent="0.25">
      <c r="A281" s="1">
        <v>46181</v>
      </c>
      <c r="B281" t="s">
        <v>53</v>
      </c>
      <c r="C281" t="s">
        <v>18</v>
      </c>
      <c r="D281" t="s">
        <v>43</v>
      </c>
      <c r="E281" t="s">
        <v>31</v>
      </c>
      <c r="F281" t="s">
        <v>32</v>
      </c>
      <c r="G281">
        <v>26</v>
      </c>
      <c r="H281">
        <v>22</v>
      </c>
      <c r="I281">
        <v>4</v>
      </c>
      <c r="J281">
        <v>2.9</v>
      </c>
      <c r="K281">
        <v>63.8</v>
      </c>
      <c r="L281">
        <v>11.6</v>
      </c>
      <c r="M281">
        <v>1.56</v>
      </c>
      <c r="N281">
        <v>40.9</v>
      </c>
      <c r="O281">
        <v>0.15379999999999999</v>
      </c>
      <c r="P281" t="s">
        <v>22</v>
      </c>
      <c r="Q281" t="s">
        <v>49</v>
      </c>
    </row>
    <row r="282" spans="1:18" x14ac:dyDescent="0.25">
      <c r="A282" s="1">
        <v>46181</v>
      </c>
      <c r="B282" t="s">
        <v>53</v>
      </c>
      <c r="C282" t="s">
        <v>18</v>
      </c>
      <c r="D282" t="s">
        <v>43</v>
      </c>
      <c r="E282" t="s">
        <v>33</v>
      </c>
      <c r="F282" t="s">
        <v>32</v>
      </c>
      <c r="G282">
        <v>22</v>
      </c>
      <c r="H282">
        <v>17</v>
      </c>
      <c r="I282">
        <v>5</v>
      </c>
      <c r="J282">
        <v>3</v>
      </c>
      <c r="K282">
        <v>51</v>
      </c>
      <c r="L282">
        <v>15</v>
      </c>
      <c r="M282">
        <v>1.41</v>
      </c>
      <c r="N282">
        <v>36.17</v>
      </c>
      <c r="O282">
        <v>0.2273</v>
      </c>
      <c r="P282" t="s">
        <v>22</v>
      </c>
      <c r="Q282" t="s">
        <v>49</v>
      </c>
    </row>
    <row r="283" spans="1:18" x14ac:dyDescent="0.25">
      <c r="A283" s="1">
        <v>46181</v>
      </c>
      <c r="B283" t="s">
        <v>53</v>
      </c>
      <c r="C283" t="s">
        <v>18</v>
      </c>
      <c r="D283" t="s">
        <v>43</v>
      </c>
      <c r="E283" t="s">
        <v>34</v>
      </c>
      <c r="F283" t="s">
        <v>32</v>
      </c>
      <c r="G283">
        <v>18</v>
      </c>
      <c r="H283">
        <v>14</v>
      </c>
      <c r="I283">
        <v>4</v>
      </c>
      <c r="J283">
        <v>3.5</v>
      </c>
      <c r="K283">
        <v>49</v>
      </c>
      <c r="L283">
        <v>14</v>
      </c>
      <c r="M283">
        <v>1.1399999999999999</v>
      </c>
      <c r="N283">
        <v>42.98</v>
      </c>
      <c r="O283">
        <v>0.22220000000000001</v>
      </c>
      <c r="P283" t="s">
        <v>22</v>
      </c>
      <c r="Q283" t="s">
        <v>49</v>
      </c>
    </row>
    <row r="284" spans="1:18" x14ac:dyDescent="0.25">
      <c r="A284" s="1">
        <v>46181</v>
      </c>
      <c r="B284" t="s">
        <v>53</v>
      </c>
      <c r="C284" t="s">
        <v>18</v>
      </c>
      <c r="D284" t="s">
        <v>43</v>
      </c>
      <c r="E284" t="s">
        <v>37</v>
      </c>
      <c r="F284" t="s">
        <v>38</v>
      </c>
      <c r="G284">
        <v>66</v>
      </c>
      <c r="H284">
        <v>57</v>
      </c>
      <c r="I284">
        <v>9</v>
      </c>
      <c r="J284">
        <v>2.4</v>
      </c>
      <c r="K284">
        <v>136.80000000000001</v>
      </c>
      <c r="L284">
        <v>21.6</v>
      </c>
      <c r="M284">
        <v>1.36</v>
      </c>
      <c r="N284">
        <v>100.59</v>
      </c>
      <c r="O284">
        <v>0.13639999999999999</v>
      </c>
      <c r="P284" t="s">
        <v>22</v>
      </c>
      <c r="Q284" t="s">
        <v>49</v>
      </c>
    </row>
    <row r="285" spans="1:18" x14ac:dyDescent="0.25">
      <c r="A285" s="1">
        <v>46181</v>
      </c>
      <c r="B285" t="s">
        <v>53</v>
      </c>
      <c r="C285" t="s">
        <v>18</v>
      </c>
      <c r="D285" t="s">
        <v>43</v>
      </c>
      <c r="E285" t="s">
        <v>39</v>
      </c>
      <c r="F285" t="s">
        <v>38</v>
      </c>
      <c r="G285">
        <v>35</v>
      </c>
      <c r="H285">
        <v>34</v>
      </c>
      <c r="I285">
        <v>1</v>
      </c>
      <c r="J285">
        <v>1.8</v>
      </c>
      <c r="K285">
        <v>61.2</v>
      </c>
      <c r="L285">
        <v>1.8</v>
      </c>
      <c r="M285">
        <v>0.91</v>
      </c>
      <c r="N285">
        <v>67.25</v>
      </c>
      <c r="O285">
        <v>2.86E-2</v>
      </c>
      <c r="P285" t="s">
        <v>22</v>
      </c>
      <c r="Q285" t="s">
        <v>49</v>
      </c>
    </row>
    <row r="286" spans="1:18" x14ac:dyDescent="0.25">
      <c r="A286" s="1">
        <v>46181</v>
      </c>
      <c r="B286" t="s">
        <v>53</v>
      </c>
      <c r="C286" t="s">
        <v>18</v>
      </c>
      <c r="D286" t="s">
        <v>43</v>
      </c>
      <c r="E286" t="s">
        <v>40</v>
      </c>
      <c r="F286" t="s">
        <v>41</v>
      </c>
      <c r="G286">
        <v>23</v>
      </c>
      <c r="H286">
        <v>19</v>
      </c>
      <c r="I286">
        <v>4</v>
      </c>
      <c r="J286">
        <v>4.5999999999999996</v>
      </c>
      <c r="K286">
        <v>87.4</v>
      </c>
      <c r="L286">
        <v>18.399999999999999</v>
      </c>
      <c r="M286">
        <v>1.48</v>
      </c>
      <c r="N286">
        <v>59.05</v>
      </c>
      <c r="O286">
        <v>0.1739</v>
      </c>
      <c r="P286" t="s">
        <v>22</v>
      </c>
      <c r="Q286" t="s">
        <v>49</v>
      </c>
    </row>
    <row r="287" spans="1:18" x14ac:dyDescent="0.25">
      <c r="A287" s="1">
        <v>46181</v>
      </c>
      <c r="B287" t="s">
        <v>53</v>
      </c>
      <c r="C287" t="s">
        <v>18</v>
      </c>
      <c r="D287" t="s">
        <v>43</v>
      </c>
      <c r="E287" t="s">
        <v>42</v>
      </c>
      <c r="F287" t="s">
        <v>41</v>
      </c>
      <c r="G287">
        <v>17</v>
      </c>
      <c r="H287">
        <v>13</v>
      </c>
      <c r="I287">
        <v>4</v>
      </c>
      <c r="J287">
        <v>4.8</v>
      </c>
      <c r="K287">
        <v>62.4</v>
      </c>
      <c r="L287">
        <v>19.2</v>
      </c>
      <c r="M287">
        <v>1.27</v>
      </c>
      <c r="N287">
        <v>49.13</v>
      </c>
      <c r="O287">
        <v>0.23530000000000001</v>
      </c>
      <c r="P287" t="s">
        <v>22</v>
      </c>
      <c r="Q287" t="s">
        <v>49</v>
      </c>
    </row>
    <row r="288" spans="1:18" x14ac:dyDescent="0.25">
      <c r="A288" s="1">
        <v>46182</v>
      </c>
      <c r="B288" t="s">
        <v>53</v>
      </c>
      <c r="C288" t="s">
        <v>44</v>
      </c>
      <c r="D288" t="s">
        <v>19</v>
      </c>
      <c r="E288" t="s">
        <v>20</v>
      </c>
      <c r="F288" t="s">
        <v>21</v>
      </c>
      <c r="G288">
        <v>61</v>
      </c>
      <c r="H288">
        <v>57</v>
      </c>
      <c r="I288">
        <v>4</v>
      </c>
      <c r="J288">
        <v>2.5</v>
      </c>
      <c r="K288">
        <v>142.5</v>
      </c>
      <c r="L288">
        <v>10</v>
      </c>
      <c r="M288">
        <v>2.83</v>
      </c>
      <c r="N288">
        <v>50.35</v>
      </c>
      <c r="O288">
        <v>6.5600000000000006E-2</v>
      </c>
      <c r="P288" t="s">
        <v>22</v>
      </c>
      <c r="Q288" t="s">
        <v>23</v>
      </c>
    </row>
    <row r="289" spans="1:18" x14ac:dyDescent="0.25">
      <c r="A289" s="1">
        <v>46182</v>
      </c>
      <c r="B289" t="s">
        <v>53</v>
      </c>
      <c r="C289" t="s">
        <v>44</v>
      </c>
      <c r="D289" t="s">
        <v>19</v>
      </c>
      <c r="E289" t="s">
        <v>25</v>
      </c>
      <c r="F289" t="s">
        <v>21</v>
      </c>
      <c r="G289">
        <v>47</v>
      </c>
      <c r="H289">
        <v>43</v>
      </c>
      <c r="I289">
        <v>4</v>
      </c>
      <c r="J289">
        <v>2.8</v>
      </c>
      <c r="K289">
        <v>120.4</v>
      </c>
      <c r="L289">
        <v>11.2</v>
      </c>
      <c r="M289">
        <v>2.31</v>
      </c>
      <c r="N289">
        <v>52.12</v>
      </c>
      <c r="O289">
        <v>8.5099999999999995E-2</v>
      </c>
      <c r="P289" t="s">
        <v>22</v>
      </c>
      <c r="Q289" t="s">
        <v>23</v>
      </c>
    </row>
    <row r="290" spans="1:18" x14ac:dyDescent="0.25">
      <c r="A290" s="1">
        <v>46182</v>
      </c>
      <c r="B290" t="s">
        <v>53</v>
      </c>
      <c r="C290" t="s">
        <v>44</v>
      </c>
      <c r="D290" t="s">
        <v>19</v>
      </c>
      <c r="E290" t="s">
        <v>26</v>
      </c>
      <c r="F290" t="s">
        <v>21</v>
      </c>
      <c r="G290">
        <v>36</v>
      </c>
      <c r="H290">
        <v>32</v>
      </c>
      <c r="I290">
        <v>4</v>
      </c>
      <c r="J290">
        <v>3.1</v>
      </c>
      <c r="K290">
        <v>99.2</v>
      </c>
      <c r="L290">
        <v>12.4</v>
      </c>
      <c r="M290">
        <v>1.85</v>
      </c>
      <c r="N290">
        <v>53.62</v>
      </c>
      <c r="O290">
        <v>0.1111</v>
      </c>
      <c r="P290" t="s">
        <v>22</v>
      </c>
      <c r="Q290" t="s">
        <v>23</v>
      </c>
    </row>
    <row r="291" spans="1:18" x14ac:dyDescent="0.25">
      <c r="A291" s="1">
        <v>46182</v>
      </c>
      <c r="B291" t="s">
        <v>53</v>
      </c>
      <c r="C291" t="s">
        <v>44</v>
      </c>
      <c r="D291" t="s">
        <v>19</v>
      </c>
      <c r="E291" t="s">
        <v>27</v>
      </c>
      <c r="F291" t="s">
        <v>28</v>
      </c>
      <c r="G291">
        <v>31</v>
      </c>
      <c r="H291">
        <v>26</v>
      </c>
      <c r="I291">
        <v>5</v>
      </c>
      <c r="J291">
        <v>4.2</v>
      </c>
      <c r="K291">
        <v>109.2</v>
      </c>
      <c r="L291">
        <v>21</v>
      </c>
      <c r="M291">
        <v>2.2599999999999998</v>
      </c>
      <c r="N291">
        <v>48.32</v>
      </c>
      <c r="O291">
        <v>0.1613</v>
      </c>
      <c r="P291" t="s">
        <v>22</v>
      </c>
      <c r="Q291" t="s">
        <v>23</v>
      </c>
    </row>
    <row r="292" spans="1:18" x14ac:dyDescent="0.25">
      <c r="A292" s="1">
        <v>46182</v>
      </c>
      <c r="B292" t="s">
        <v>53</v>
      </c>
      <c r="C292" t="s">
        <v>44</v>
      </c>
      <c r="D292" t="s">
        <v>19</v>
      </c>
      <c r="E292" t="s">
        <v>29</v>
      </c>
      <c r="F292" t="s">
        <v>28</v>
      </c>
      <c r="G292">
        <v>42</v>
      </c>
      <c r="H292">
        <v>33</v>
      </c>
      <c r="I292">
        <v>9</v>
      </c>
      <c r="J292">
        <v>2.2999999999999998</v>
      </c>
      <c r="K292">
        <v>75.900000000000006</v>
      </c>
      <c r="L292">
        <v>20.7</v>
      </c>
      <c r="M292">
        <v>3.21</v>
      </c>
      <c r="N292">
        <v>23.64</v>
      </c>
      <c r="O292">
        <v>0.21429999999999999</v>
      </c>
      <c r="P292" t="s">
        <v>22</v>
      </c>
      <c r="Q292" t="s">
        <v>23</v>
      </c>
    </row>
    <row r="293" spans="1:18" x14ac:dyDescent="0.25">
      <c r="A293" s="1">
        <v>46182</v>
      </c>
      <c r="B293" t="s">
        <v>53</v>
      </c>
      <c r="C293" t="s">
        <v>44</v>
      </c>
      <c r="D293" t="s">
        <v>19</v>
      </c>
      <c r="E293" t="s">
        <v>30</v>
      </c>
      <c r="F293" t="s">
        <v>28</v>
      </c>
      <c r="G293">
        <v>23</v>
      </c>
      <c r="H293">
        <v>20</v>
      </c>
      <c r="I293">
        <v>3</v>
      </c>
      <c r="J293">
        <v>3.8</v>
      </c>
      <c r="K293">
        <v>76</v>
      </c>
      <c r="L293">
        <v>11.4</v>
      </c>
      <c r="M293">
        <v>1.81</v>
      </c>
      <c r="N293">
        <v>41.99</v>
      </c>
      <c r="O293">
        <v>0.13039999999999999</v>
      </c>
      <c r="P293" t="s">
        <v>22</v>
      </c>
      <c r="Q293" t="s">
        <v>23</v>
      </c>
    </row>
    <row r="294" spans="1:18" x14ac:dyDescent="0.25">
      <c r="A294" s="1">
        <v>46182</v>
      </c>
      <c r="B294" t="s">
        <v>53</v>
      </c>
      <c r="C294" t="s">
        <v>44</v>
      </c>
      <c r="D294" t="s">
        <v>19</v>
      </c>
      <c r="E294" t="s">
        <v>31</v>
      </c>
      <c r="F294" t="s">
        <v>32</v>
      </c>
      <c r="G294">
        <v>44</v>
      </c>
      <c r="H294">
        <v>32</v>
      </c>
      <c r="I294">
        <v>12</v>
      </c>
      <c r="J294">
        <v>2.9</v>
      </c>
      <c r="K294">
        <v>92.8</v>
      </c>
      <c r="L294">
        <v>34.799999999999997</v>
      </c>
      <c r="M294">
        <v>2.5099999999999998</v>
      </c>
      <c r="N294">
        <v>36.97</v>
      </c>
      <c r="O294">
        <v>0.2727</v>
      </c>
      <c r="P294" t="s">
        <v>22</v>
      </c>
      <c r="Q294" t="s">
        <v>23</v>
      </c>
      <c r="R294" t="s">
        <v>24</v>
      </c>
    </row>
    <row r="295" spans="1:18" x14ac:dyDescent="0.25">
      <c r="A295" s="1">
        <v>46182</v>
      </c>
      <c r="B295" t="s">
        <v>53</v>
      </c>
      <c r="C295" t="s">
        <v>44</v>
      </c>
      <c r="D295" t="s">
        <v>19</v>
      </c>
      <c r="E295" t="s">
        <v>33</v>
      </c>
      <c r="F295" t="s">
        <v>32</v>
      </c>
      <c r="G295">
        <v>32</v>
      </c>
      <c r="H295">
        <v>32</v>
      </c>
      <c r="I295">
        <v>0</v>
      </c>
      <c r="J295">
        <v>3</v>
      </c>
      <c r="K295">
        <v>96</v>
      </c>
      <c r="L295">
        <v>0</v>
      </c>
      <c r="M295">
        <v>1.91</v>
      </c>
      <c r="N295">
        <v>50.26</v>
      </c>
      <c r="O295">
        <v>0</v>
      </c>
      <c r="P295" t="s">
        <v>22</v>
      </c>
      <c r="Q295" t="s">
        <v>23</v>
      </c>
    </row>
    <row r="296" spans="1:18" x14ac:dyDescent="0.25">
      <c r="A296" s="1">
        <v>46182</v>
      </c>
      <c r="B296" t="s">
        <v>53</v>
      </c>
      <c r="C296" t="s">
        <v>44</v>
      </c>
      <c r="D296" t="s">
        <v>19</v>
      </c>
      <c r="E296" t="s">
        <v>34</v>
      </c>
      <c r="F296" t="s">
        <v>32</v>
      </c>
      <c r="G296">
        <v>28</v>
      </c>
      <c r="H296">
        <v>25</v>
      </c>
      <c r="I296">
        <v>3</v>
      </c>
      <c r="J296">
        <v>3.5</v>
      </c>
      <c r="K296">
        <v>87.5</v>
      </c>
      <c r="L296">
        <v>10.5</v>
      </c>
      <c r="M296">
        <v>1.58</v>
      </c>
      <c r="N296">
        <v>55.38</v>
      </c>
      <c r="O296">
        <v>0.1071</v>
      </c>
      <c r="P296" t="s">
        <v>22</v>
      </c>
      <c r="Q296" t="s">
        <v>23</v>
      </c>
    </row>
    <row r="297" spans="1:18" x14ac:dyDescent="0.25">
      <c r="A297" s="1">
        <v>46182</v>
      </c>
      <c r="B297" t="s">
        <v>53</v>
      </c>
      <c r="C297" t="s">
        <v>44</v>
      </c>
      <c r="D297" t="s">
        <v>19</v>
      </c>
      <c r="E297" t="s">
        <v>37</v>
      </c>
      <c r="F297" t="s">
        <v>38</v>
      </c>
      <c r="G297">
        <v>94</v>
      </c>
      <c r="H297">
        <v>89</v>
      </c>
      <c r="I297">
        <v>5</v>
      </c>
      <c r="J297">
        <v>2.4</v>
      </c>
      <c r="K297">
        <v>213.6</v>
      </c>
      <c r="L297">
        <v>12</v>
      </c>
      <c r="M297">
        <v>1.98</v>
      </c>
      <c r="N297">
        <v>107.88</v>
      </c>
      <c r="O297">
        <v>5.3199999999999997E-2</v>
      </c>
      <c r="P297" t="s">
        <v>22</v>
      </c>
      <c r="Q297" t="s">
        <v>23</v>
      </c>
    </row>
    <row r="298" spans="1:18" x14ac:dyDescent="0.25">
      <c r="A298" s="1">
        <v>46182</v>
      </c>
      <c r="B298" t="s">
        <v>53</v>
      </c>
      <c r="C298" t="s">
        <v>44</v>
      </c>
      <c r="D298" t="s">
        <v>19</v>
      </c>
      <c r="E298" t="s">
        <v>39</v>
      </c>
      <c r="F298" t="s">
        <v>38</v>
      </c>
      <c r="G298">
        <v>57</v>
      </c>
      <c r="H298">
        <v>54</v>
      </c>
      <c r="I298">
        <v>3</v>
      </c>
      <c r="J298">
        <v>1.8</v>
      </c>
      <c r="K298">
        <v>97.2</v>
      </c>
      <c r="L298">
        <v>5.4</v>
      </c>
      <c r="M298">
        <v>1.1000000000000001</v>
      </c>
      <c r="N298">
        <v>88.36</v>
      </c>
      <c r="O298">
        <v>5.2600000000000001E-2</v>
      </c>
      <c r="P298" t="s">
        <v>22</v>
      </c>
      <c r="Q298" t="s">
        <v>23</v>
      </c>
    </row>
    <row r="299" spans="1:18" x14ac:dyDescent="0.25">
      <c r="A299" s="1">
        <v>46182</v>
      </c>
      <c r="B299" t="s">
        <v>53</v>
      </c>
      <c r="C299" t="s">
        <v>44</v>
      </c>
      <c r="D299" t="s">
        <v>19</v>
      </c>
      <c r="E299" t="s">
        <v>40</v>
      </c>
      <c r="F299" t="s">
        <v>41</v>
      </c>
      <c r="G299">
        <v>35</v>
      </c>
      <c r="H299">
        <v>32</v>
      </c>
      <c r="I299">
        <v>3</v>
      </c>
      <c r="J299">
        <v>4.5999999999999996</v>
      </c>
      <c r="K299">
        <v>147.19999999999999</v>
      </c>
      <c r="L299">
        <v>13.8</v>
      </c>
      <c r="M299">
        <v>2.31</v>
      </c>
      <c r="N299">
        <v>63.72</v>
      </c>
      <c r="O299">
        <v>8.5699999999999998E-2</v>
      </c>
      <c r="P299" t="s">
        <v>22</v>
      </c>
      <c r="Q299" t="s">
        <v>23</v>
      </c>
    </row>
    <row r="300" spans="1:18" x14ac:dyDescent="0.25">
      <c r="A300" s="1">
        <v>46182</v>
      </c>
      <c r="B300" t="s">
        <v>53</v>
      </c>
      <c r="C300" t="s">
        <v>44</v>
      </c>
      <c r="D300" t="s">
        <v>19</v>
      </c>
      <c r="E300" t="s">
        <v>42</v>
      </c>
      <c r="F300" t="s">
        <v>41</v>
      </c>
      <c r="G300">
        <v>25</v>
      </c>
      <c r="H300">
        <v>21</v>
      </c>
      <c r="I300">
        <v>4</v>
      </c>
      <c r="J300">
        <v>4.8</v>
      </c>
      <c r="K300">
        <v>100.8</v>
      </c>
      <c r="L300">
        <v>19.2</v>
      </c>
      <c r="M300">
        <v>1.65</v>
      </c>
      <c r="N300">
        <v>61.09</v>
      </c>
      <c r="O300">
        <v>0.16</v>
      </c>
      <c r="P300" t="s">
        <v>22</v>
      </c>
      <c r="Q300" t="s">
        <v>23</v>
      </c>
    </row>
    <row r="301" spans="1:18" x14ac:dyDescent="0.25">
      <c r="A301" s="1">
        <v>46182</v>
      </c>
      <c r="B301" t="s">
        <v>53</v>
      </c>
      <c r="C301" t="s">
        <v>44</v>
      </c>
      <c r="D301" t="s">
        <v>43</v>
      </c>
      <c r="E301" t="s">
        <v>20</v>
      </c>
      <c r="F301" t="s">
        <v>21</v>
      </c>
      <c r="G301">
        <v>50</v>
      </c>
      <c r="H301">
        <v>39</v>
      </c>
      <c r="I301">
        <v>11</v>
      </c>
      <c r="J301">
        <v>2.5</v>
      </c>
      <c r="K301">
        <v>97.5</v>
      </c>
      <c r="L301">
        <v>27.5</v>
      </c>
      <c r="M301">
        <v>2.4500000000000002</v>
      </c>
      <c r="N301">
        <v>39.799999999999997</v>
      </c>
      <c r="O301">
        <v>0.22</v>
      </c>
      <c r="P301" t="s">
        <v>22</v>
      </c>
      <c r="Q301" t="s">
        <v>23</v>
      </c>
      <c r="R301" t="s">
        <v>24</v>
      </c>
    </row>
    <row r="302" spans="1:18" x14ac:dyDescent="0.25">
      <c r="A302" s="1">
        <v>46182</v>
      </c>
      <c r="B302" t="s">
        <v>53</v>
      </c>
      <c r="C302" t="s">
        <v>44</v>
      </c>
      <c r="D302" t="s">
        <v>43</v>
      </c>
      <c r="E302" t="s">
        <v>25</v>
      </c>
      <c r="F302" t="s">
        <v>21</v>
      </c>
      <c r="G302">
        <v>41</v>
      </c>
      <c r="H302">
        <v>38</v>
      </c>
      <c r="I302">
        <v>3</v>
      </c>
      <c r="J302">
        <v>2.8</v>
      </c>
      <c r="K302">
        <v>106.4</v>
      </c>
      <c r="L302">
        <v>8.4</v>
      </c>
      <c r="M302">
        <v>2.14</v>
      </c>
      <c r="N302">
        <v>49.72</v>
      </c>
      <c r="O302">
        <v>7.3200000000000001E-2</v>
      </c>
      <c r="P302" t="s">
        <v>35</v>
      </c>
      <c r="Q302" t="s">
        <v>23</v>
      </c>
      <c r="R302" t="s">
        <v>36</v>
      </c>
    </row>
    <row r="303" spans="1:18" x14ac:dyDescent="0.25">
      <c r="A303" s="1">
        <v>46182</v>
      </c>
      <c r="B303" t="s">
        <v>53</v>
      </c>
      <c r="C303" t="s">
        <v>44</v>
      </c>
      <c r="D303" t="s">
        <v>43</v>
      </c>
      <c r="E303" t="s">
        <v>26</v>
      </c>
      <c r="F303" t="s">
        <v>21</v>
      </c>
      <c r="G303">
        <v>29</v>
      </c>
      <c r="H303">
        <v>24</v>
      </c>
      <c r="I303">
        <v>5</v>
      </c>
      <c r="J303">
        <v>3.1</v>
      </c>
      <c r="K303">
        <v>74.400000000000006</v>
      </c>
      <c r="L303">
        <v>15.5</v>
      </c>
      <c r="M303">
        <v>1.41</v>
      </c>
      <c r="N303">
        <v>52.77</v>
      </c>
      <c r="O303">
        <v>0.1724</v>
      </c>
      <c r="P303" t="s">
        <v>22</v>
      </c>
      <c r="Q303" t="s">
        <v>23</v>
      </c>
    </row>
    <row r="304" spans="1:18" x14ac:dyDescent="0.25">
      <c r="A304" s="1">
        <v>46182</v>
      </c>
      <c r="B304" t="s">
        <v>53</v>
      </c>
      <c r="C304" t="s">
        <v>44</v>
      </c>
      <c r="D304" t="s">
        <v>43</v>
      </c>
      <c r="E304" t="s">
        <v>27</v>
      </c>
      <c r="F304" t="s">
        <v>28</v>
      </c>
      <c r="G304">
        <v>27</v>
      </c>
      <c r="H304">
        <v>22</v>
      </c>
      <c r="I304">
        <v>5</v>
      </c>
      <c r="J304">
        <v>4.2</v>
      </c>
      <c r="K304">
        <v>92.4</v>
      </c>
      <c r="L304">
        <v>21</v>
      </c>
      <c r="M304">
        <v>1.99</v>
      </c>
      <c r="N304">
        <v>46.43</v>
      </c>
      <c r="O304">
        <v>0.1852</v>
      </c>
      <c r="P304" t="s">
        <v>22</v>
      </c>
      <c r="Q304" t="s">
        <v>23</v>
      </c>
    </row>
    <row r="305" spans="1:18" x14ac:dyDescent="0.25">
      <c r="A305" s="1">
        <v>46182</v>
      </c>
      <c r="B305" t="s">
        <v>53</v>
      </c>
      <c r="C305" t="s">
        <v>44</v>
      </c>
      <c r="D305" t="s">
        <v>43</v>
      </c>
      <c r="E305" t="s">
        <v>29</v>
      </c>
      <c r="F305" t="s">
        <v>28</v>
      </c>
      <c r="G305">
        <v>34</v>
      </c>
      <c r="H305">
        <v>31</v>
      </c>
      <c r="I305">
        <v>3</v>
      </c>
      <c r="J305">
        <v>2.2999999999999998</v>
      </c>
      <c r="K305">
        <v>71.3</v>
      </c>
      <c r="L305">
        <v>6.9</v>
      </c>
      <c r="M305">
        <v>2.66</v>
      </c>
      <c r="N305">
        <v>26.8</v>
      </c>
      <c r="O305">
        <v>8.8200000000000001E-2</v>
      </c>
      <c r="P305" t="s">
        <v>22</v>
      </c>
      <c r="Q305" t="s">
        <v>23</v>
      </c>
    </row>
    <row r="306" spans="1:18" x14ac:dyDescent="0.25">
      <c r="A306" s="1">
        <v>46182</v>
      </c>
      <c r="B306" t="s">
        <v>53</v>
      </c>
      <c r="C306" t="s">
        <v>44</v>
      </c>
      <c r="D306" t="s">
        <v>43</v>
      </c>
      <c r="E306" t="s">
        <v>30</v>
      </c>
      <c r="F306" t="s">
        <v>28</v>
      </c>
      <c r="G306">
        <v>20</v>
      </c>
      <c r="H306">
        <v>16</v>
      </c>
      <c r="I306">
        <v>4</v>
      </c>
      <c r="J306">
        <v>3.8</v>
      </c>
      <c r="K306">
        <v>60.8</v>
      </c>
      <c r="L306">
        <v>15.2</v>
      </c>
      <c r="M306">
        <v>1.64</v>
      </c>
      <c r="N306">
        <v>37.07</v>
      </c>
      <c r="O306">
        <v>0.2</v>
      </c>
      <c r="P306" t="s">
        <v>22</v>
      </c>
      <c r="Q306" t="s">
        <v>23</v>
      </c>
    </row>
    <row r="307" spans="1:18" x14ac:dyDescent="0.25">
      <c r="A307" s="1">
        <v>46182</v>
      </c>
      <c r="B307" t="s">
        <v>53</v>
      </c>
      <c r="C307" t="s">
        <v>44</v>
      </c>
      <c r="D307" t="s">
        <v>43</v>
      </c>
      <c r="E307" t="s">
        <v>31</v>
      </c>
      <c r="F307" t="s">
        <v>32</v>
      </c>
      <c r="G307">
        <v>35</v>
      </c>
      <c r="H307">
        <v>28</v>
      </c>
      <c r="I307">
        <v>7</v>
      </c>
      <c r="J307">
        <v>2.9</v>
      </c>
      <c r="K307">
        <v>81.2</v>
      </c>
      <c r="L307">
        <v>20.3</v>
      </c>
      <c r="M307">
        <v>1.85</v>
      </c>
      <c r="N307">
        <v>43.89</v>
      </c>
      <c r="O307">
        <v>0.2</v>
      </c>
      <c r="P307" t="s">
        <v>22</v>
      </c>
      <c r="Q307" t="s">
        <v>23</v>
      </c>
    </row>
    <row r="308" spans="1:18" x14ac:dyDescent="0.25">
      <c r="A308" s="1">
        <v>46182</v>
      </c>
      <c r="B308" t="s">
        <v>53</v>
      </c>
      <c r="C308" t="s">
        <v>44</v>
      </c>
      <c r="D308" t="s">
        <v>43</v>
      </c>
      <c r="E308" t="s">
        <v>33</v>
      </c>
      <c r="F308" t="s">
        <v>32</v>
      </c>
      <c r="G308">
        <v>27</v>
      </c>
      <c r="H308">
        <v>22</v>
      </c>
      <c r="I308">
        <v>5</v>
      </c>
      <c r="J308">
        <v>3</v>
      </c>
      <c r="K308">
        <v>66</v>
      </c>
      <c r="L308">
        <v>15</v>
      </c>
      <c r="M308">
        <v>1.48</v>
      </c>
      <c r="N308">
        <v>44.59</v>
      </c>
      <c r="O308">
        <v>0.1852</v>
      </c>
      <c r="P308" t="s">
        <v>22</v>
      </c>
      <c r="Q308" t="s">
        <v>23</v>
      </c>
    </row>
    <row r="309" spans="1:18" x14ac:dyDescent="0.25">
      <c r="A309" s="1">
        <v>46182</v>
      </c>
      <c r="B309" t="s">
        <v>53</v>
      </c>
      <c r="C309" t="s">
        <v>44</v>
      </c>
      <c r="D309" t="s">
        <v>43</v>
      </c>
      <c r="E309" t="s">
        <v>34</v>
      </c>
      <c r="F309" t="s">
        <v>32</v>
      </c>
      <c r="G309">
        <v>22</v>
      </c>
      <c r="H309">
        <v>18</v>
      </c>
      <c r="I309">
        <v>4</v>
      </c>
      <c r="J309">
        <v>3.5</v>
      </c>
      <c r="K309">
        <v>63</v>
      </c>
      <c r="L309">
        <v>14</v>
      </c>
      <c r="M309">
        <v>1.29</v>
      </c>
      <c r="N309">
        <v>48.84</v>
      </c>
      <c r="O309">
        <v>0.18179999999999999</v>
      </c>
      <c r="P309" t="s">
        <v>22</v>
      </c>
      <c r="Q309" t="s">
        <v>23</v>
      </c>
    </row>
    <row r="310" spans="1:18" x14ac:dyDescent="0.25">
      <c r="A310" s="1">
        <v>46182</v>
      </c>
      <c r="B310" t="s">
        <v>53</v>
      </c>
      <c r="C310" t="s">
        <v>44</v>
      </c>
      <c r="D310" t="s">
        <v>43</v>
      </c>
      <c r="E310" t="s">
        <v>37</v>
      </c>
      <c r="F310" t="s">
        <v>38</v>
      </c>
      <c r="G310">
        <v>77</v>
      </c>
      <c r="H310">
        <v>66</v>
      </c>
      <c r="I310">
        <v>11</v>
      </c>
      <c r="J310">
        <v>2.4</v>
      </c>
      <c r="K310">
        <v>158.4</v>
      </c>
      <c r="L310">
        <v>26.4</v>
      </c>
      <c r="M310">
        <v>1.7</v>
      </c>
      <c r="N310">
        <v>93.18</v>
      </c>
      <c r="O310">
        <v>0.1429</v>
      </c>
      <c r="P310" t="s">
        <v>22</v>
      </c>
      <c r="Q310" t="s">
        <v>23</v>
      </c>
    </row>
    <row r="311" spans="1:18" x14ac:dyDescent="0.25">
      <c r="A311" s="1">
        <v>46182</v>
      </c>
      <c r="B311" t="s">
        <v>53</v>
      </c>
      <c r="C311" t="s">
        <v>44</v>
      </c>
      <c r="D311" t="s">
        <v>43</v>
      </c>
      <c r="E311" t="s">
        <v>39</v>
      </c>
      <c r="F311" t="s">
        <v>38</v>
      </c>
      <c r="G311">
        <v>42</v>
      </c>
      <c r="H311">
        <v>38</v>
      </c>
      <c r="I311">
        <v>4</v>
      </c>
      <c r="J311">
        <v>1.8</v>
      </c>
      <c r="K311">
        <v>68.400000000000006</v>
      </c>
      <c r="L311">
        <v>7.2</v>
      </c>
      <c r="M311">
        <v>0.94</v>
      </c>
      <c r="N311">
        <v>72.77</v>
      </c>
      <c r="O311">
        <v>9.5200000000000007E-2</v>
      </c>
      <c r="P311" t="s">
        <v>22</v>
      </c>
      <c r="Q311" t="s">
        <v>23</v>
      </c>
    </row>
    <row r="312" spans="1:18" x14ac:dyDescent="0.25">
      <c r="A312" s="1">
        <v>46182</v>
      </c>
      <c r="B312" t="s">
        <v>53</v>
      </c>
      <c r="C312" t="s">
        <v>44</v>
      </c>
      <c r="D312" t="s">
        <v>43</v>
      </c>
      <c r="E312" t="s">
        <v>40</v>
      </c>
      <c r="F312" t="s">
        <v>41</v>
      </c>
      <c r="G312">
        <v>31</v>
      </c>
      <c r="H312">
        <v>27</v>
      </c>
      <c r="I312">
        <v>4</v>
      </c>
      <c r="J312">
        <v>4.5999999999999996</v>
      </c>
      <c r="K312">
        <v>124.2</v>
      </c>
      <c r="L312">
        <v>18.399999999999999</v>
      </c>
      <c r="M312">
        <v>2.04</v>
      </c>
      <c r="N312">
        <v>60.88</v>
      </c>
      <c r="O312">
        <v>0.129</v>
      </c>
      <c r="P312" t="s">
        <v>22</v>
      </c>
      <c r="Q312" t="s">
        <v>23</v>
      </c>
    </row>
    <row r="313" spans="1:18" x14ac:dyDescent="0.25">
      <c r="A313" s="1">
        <v>46182</v>
      </c>
      <c r="B313" t="s">
        <v>53</v>
      </c>
      <c r="C313" t="s">
        <v>44</v>
      </c>
      <c r="D313" t="s">
        <v>43</v>
      </c>
      <c r="E313" t="s">
        <v>42</v>
      </c>
      <c r="F313" t="s">
        <v>41</v>
      </c>
      <c r="G313">
        <v>21</v>
      </c>
      <c r="H313">
        <v>16</v>
      </c>
      <c r="I313">
        <v>5</v>
      </c>
      <c r="J313">
        <v>4.8</v>
      </c>
      <c r="K313">
        <v>76.8</v>
      </c>
      <c r="L313">
        <v>24</v>
      </c>
      <c r="M313">
        <v>1.45</v>
      </c>
      <c r="N313">
        <v>52.97</v>
      </c>
      <c r="O313">
        <v>0.23810000000000001</v>
      </c>
      <c r="P313" t="s">
        <v>22</v>
      </c>
      <c r="Q313" t="s">
        <v>23</v>
      </c>
    </row>
    <row r="314" spans="1:18" x14ac:dyDescent="0.25">
      <c r="A314" s="1">
        <v>46183</v>
      </c>
      <c r="B314" t="s">
        <v>53</v>
      </c>
      <c r="C314" t="s">
        <v>45</v>
      </c>
      <c r="D314" t="s">
        <v>19</v>
      </c>
      <c r="E314" t="s">
        <v>20</v>
      </c>
      <c r="F314" t="s">
        <v>21</v>
      </c>
      <c r="G314">
        <v>68</v>
      </c>
      <c r="H314">
        <v>68</v>
      </c>
      <c r="I314">
        <v>0</v>
      </c>
      <c r="J314">
        <v>2.5</v>
      </c>
      <c r="K314">
        <v>170</v>
      </c>
      <c r="L314">
        <v>0</v>
      </c>
      <c r="M314">
        <v>3.21</v>
      </c>
      <c r="N314">
        <v>52.96</v>
      </c>
      <c r="O314">
        <v>0</v>
      </c>
      <c r="P314" t="s">
        <v>22</v>
      </c>
      <c r="Q314" t="s">
        <v>46</v>
      </c>
    </row>
    <row r="315" spans="1:18" x14ac:dyDescent="0.25">
      <c r="A315" s="1">
        <v>46183</v>
      </c>
      <c r="B315" t="s">
        <v>53</v>
      </c>
      <c r="C315" t="s">
        <v>45</v>
      </c>
      <c r="D315" t="s">
        <v>19</v>
      </c>
      <c r="E315" t="s">
        <v>25</v>
      </c>
      <c r="F315" t="s">
        <v>21</v>
      </c>
      <c r="G315">
        <v>56</v>
      </c>
      <c r="H315">
        <v>44</v>
      </c>
      <c r="I315">
        <v>12</v>
      </c>
      <c r="J315">
        <v>2.8</v>
      </c>
      <c r="K315">
        <v>123.2</v>
      </c>
      <c r="L315">
        <v>33.6</v>
      </c>
      <c r="M315">
        <v>2.64</v>
      </c>
      <c r="N315">
        <v>46.67</v>
      </c>
      <c r="O315">
        <v>0.21429999999999999</v>
      </c>
      <c r="P315" t="s">
        <v>22</v>
      </c>
      <c r="Q315" t="s">
        <v>46</v>
      </c>
      <c r="R315" t="s">
        <v>24</v>
      </c>
    </row>
    <row r="316" spans="1:18" x14ac:dyDescent="0.25">
      <c r="A316" s="1">
        <v>46183</v>
      </c>
      <c r="B316" t="s">
        <v>53</v>
      </c>
      <c r="C316" t="s">
        <v>45</v>
      </c>
      <c r="D316" t="s">
        <v>19</v>
      </c>
      <c r="E316" t="s">
        <v>26</v>
      </c>
      <c r="F316" t="s">
        <v>21</v>
      </c>
      <c r="G316">
        <v>45</v>
      </c>
      <c r="H316">
        <v>38</v>
      </c>
      <c r="I316">
        <v>7</v>
      </c>
      <c r="J316">
        <v>3.1</v>
      </c>
      <c r="K316">
        <v>117.8</v>
      </c>
      <c r="L316">
        <v>21.7</v>
      </c>
      <c r="M316">
        <v>2.12</v>
      </c>
      <c r="N316">
        <v>55.57</v>
      </c>
      <c r="O316">
        <v>0.15559999999999999</v>
      </c>
      <c r="P316" t="s">
        <v>22</v>
      </c>
      <c r="Q316" t="s">
        <v>46</v>
      </c>
    </row>
    <row r="317" spans="1:18" x14ac:dyDescent="0.25">
      <c r="A317" s="1">
        <v>46183</v>
      </c>
      <c r="B317" t="s">
        <v>53</v>
      </c>
      <c r="C317" t="s">
        <v>45</v>
      </c>
      <c r="D317" t="s">
        <v>19</v>
      </c>
      <c r="E317" t="s">
        <v>27</v>
      </c>
      <c r="F317" t="s">
        <v>28</v>
      </c>
      <c r="G317">
        <v>36</v>
      </c>
      <c r="H317">
        <v>31</v>
      </c>
      <c r="I317">
        <v>5</v>
      </c>
      <c r="J317">
        <v>4.2</v>
      </c>
      <c r="K317">
        <v>130.19999999999999</v>
      </c>
      <c r="L317">
        <v>21</v>
      </c>
      <c r="M317">
        <v>2.67</v>
      </c>
      <c r="N317">
        <v>48.76</v>
      </c>
      <c r="O317">
        <v>0.1389</v>
      </c>
      <c r="P317" t="s">
        <v>22</v>
      </c>
      <c r="Q317" t="s">
        <v>46</v>
      </c>
    </row>
    <row r="318" spans="1:18" x14ac:dyDescent="0.25">
      <c r="A318" s="1">
        <v>46183</v>
      </c>
      <c r="B318" t="s">
        <v>53</v>
      </c>
      <c r="C318" t="s">
        <v>45</v>
      </c>
      <c r="D318" t="s">
        <v>19</v>
      </c>
      <c r="E318" t="s">
        <v>29</v>
      </c>
      <c r="F318" t="s">
        <v>28</v>
      </c>
      <c r="G318">
        <v>53</v>
      </c>
      <c r="H318">
        <v>44</v>
      </c>
      <c r="I318">
        <v>9</v>
      </c>
      <c r="J318">
        <v>2.2999999999999998</v>
      </c>
      <c r="K318">
        <v>101.2</v>
      </c>
      <c r="L318">
        <v>20.7</v>
      </c>
      <c r="M318">
        <v>3.78</v>
      </c>
      <c r="N318">
        <v>26.77</v>
      </c>
      <c r="O318">
        <v>0.16980000000000001</v>
      </c>
      <c r="P318" t="s">
        <v>22</v>
      </c>
      <c r="Q318" t="s">
        <v>46</v>
      </c>
    </row>
    <row r="319" spans="1:18" x14ac:dyDescent="0.25">
      <c r="A319" s="1">
        <v>46183</v>
      </c>
      <c r="B319" t="s">
        <v>53</v>
      </c>
      <c r="C319" t="s">
        <v>45</v>
      </c>
      <c r="D319" t="s">
        <v>19</v>
      </c>
      <c r="E319" t="s">
        <v>30</v>
      </c>
      <c r="F319" t="s">
        <v>28</v>
      </c>
      <c r="G319">
        <v>27</v>
      </c>
      <c r="H319">
        <v>21</v>
      </c>
      <c r="I319">
        <v>6</v>
      </c>
      <c r="J319">
        <v>3.8</v>
      </c>
      <c r="K319">
        <v>79.8</v>
      </c>
      <c r="L319">
        <v>22.8</v>
      </c>
      <c r="M319">
        <v>2.16</v>
      </c>
      <c r="N319">
        <v>36.94</v>
      </c>
      <c r="O319">
        <v>0.22220000000000001</v>
      </c>
      <c r="P319" t="s">
        <v>22</v>
      </c>
      <c r="Q319" t="s">
        <v>46</v>
      </c>
    </row>
    <row r="320" spans="1:18" x14ac:dyDescent="0.25">
      <c r="A320" s="1">
        <v>46183</v>
      </c>
      <c r="B320" t="s">
        <v>53</v>
      </c>
      <c r="C320" t="s">
        <v>45</v>
      </c>
      <c r="D320" t="s">
        <v>19</v>
      </c>
      <c r="E320" t="s">
        <v>31</v>
      </c>
      <c r="F320" t="s">
        <v>32</v>
      </c>
      <c r="G320">
        <v>51</v>
      </c>
      <c r="H320">
        <v>44</v>
      </c>
      <c r="I320">
        <v>7</v>
      </c>
      <c r="J320">
        <v>2.9</v>
      </c>
      <c r="K320">
        <v>127.6</v>
      </c>
      <c r="L320">
        <v>20.3</v>
      </c>
      <c r="M320">
        <v>2.7</v>
      </c>
      <c r="N320">
        <v>47.26</v>
      </c>
      <c r="O320">
        <v>0.13730000000000001</v>
      </c>
      <c r="P320" t="s">
        <v>22</v>
      </c>
      <c r="Q320" t="s">
        <v>46</v>
      </c>
    </row>
    <row r="321" spans="1:18" x14ac:dyDescent="0.25">
      <c r="A321" s="1">
        <v>46183</v>
      </c>
      <c r="B321" t="s">
        <v>53</v>
      </c>
      <c r="C321" t="s">
        <v>45</v>
      </c>
      <c r="D321" t="s">
        <v>19</v>
      </c>
      <c r="E321" t="s">
        <v>33</v>
      </c>
      <c r="F321" t="s">
        <v>32</v>
      </c>
      <c r="G321">
        <v>37</v>
      </c>
      <c r="H321">
        <v>33</v>
      </c>
      <c r="I321">
        <v>4</v>
      </c>
      <c r="J321">
        <v>3</v>
      </c>
      <c r="K321">
        <v>99</v>
      </c>
      <c r="L321">
        <v>12</v>
      </c>
      <c r="M321">
        <v>2.19</v>
      </c>
      <c r="N321">
        <v>45.21</v>
      </c>
      <c r="O321">
        <v>0.1081</v>
      </c>
      <c r="P321" t="s">
        <v>22</v>
      </c>
      <c r="Q321" t="s">
        <v>46</v>
      </c>
    </row>
    <row r="322" spans="1:18" x14ac:dyDescent="0.25">
      <c r="A322" s="1">
        <v>46183</v>
      </c>
      <c r="B322" t="s">
        <v>53</v>
      </c>
      <c r="C322" t="s">
        <v>45</v>
      </c>
      <c r="D322" t="s">
        <v>19</v>
      </c>
      <c r="E322" t="s">
        <v>34</v>
      </c>
      <c r="F322" t="s">
        <v>32</v>
      </c>
      <c r="G322">
        <v>31</v>
      </c>
      <c r="H322">
        <v>28</v>
      </c>
      <c r="I322">
        <v>3</v>
      </c>
      <c r="J322">
        <v>3.5</v>
      </c>
      <c r="K322">
        <v>98</v>
      </c>
      <c r="L322">
        <v>10.5</v>
      </c>
      <c r="M322">
        <v>1.88</v>
      </c>
      <c r="N322">
        <v>52.13</v>
      </c>
      <c r="O322">
        <v>9.6799999999999997E-2</v>
      </c>
      <c r="P322" t="s">
        <v>22</v>
      </c>
      <c r="Q322" t="s">
        <v>46</v>
      </c>
    </row>
    <row r="323" spans="1:18" x14ac:dyDescent="0.25">
      <c r="A323" s="1">
        <v>46183</v>
      </c>
      <c r="B323" t="s">
        <v>53</v>
      </c>
      <c r="C323" t="s">
        <v>45</v>
      </c>
      <c r="D323" t="s">
        <v>19</v>
      </c>
      <c r="E323" t="s">
        <v>37</v>
      </c>
      <c r="F323" t="s">
        <v>38</v>
      </c>
      <c r="G323">
        <v>118</v>
      </c>
      <c r="H323">
        <v>114</v>
      </c>
      <c r="I323">
        <v>4</v>
      </c>
      <c r="J323">
        <v>2.4</v>
      </c>
      <c r="K323">
        <v>273.60000000000002</v>
      </c>
      <c r="L323">
        <v>9.6</v>
      </c>
      <c r="M323">
        <v>2.42</v>
      </c>
      <c r="N323">
        <v>113.06</v>
      </c>
      <c r="O323">
        <v>3.39E-2</v>
      </c>
      <c r="P323" t="s">
        <v>22</v>
      </c>
      <c r="Q323" t="s">
        <v>46</v>
      </c>
    </row>
    <row r="324" spans="1:18" x14ac:dyDescent="0.25">
      <c r="A324" s="1">
        <v>46183</v>
      </c>
      <c r="B324" t="s">
        <v>53</v>
      </c>
      <c r="C324" t="s">
        <v>45</v>
      </c>
      <c r="D324" t="s">
        <v>19</v>
      </c>
      <c r="E324" t="s">
        <v>39</v>
      </c>
      <c r="F324" t="s">
        <v>38</v>
      </c>
      <c r="G324">
        <v>64</v>
      </c>
      <c r="H324">
        <v>59</v>
      </c>
      <c r="I324">
        <v>5</v>
      </c>
      <c r="J324">
        <v>1.8</v>
      </c>
      <c r="K324">
        <v>106.2</v>
      </c>
      <c r="L324">
        <v>9</v>
      </c>
      <c r="M324">
        <v>1.41</v>
      </c>
      <c r="N324">
        <v>75.319999999999993</v>
      </c>
      <c r="O324">
        <v>7.8100000000000003E-2</v>
      </c>
      <c r="P324" t="s">
        <v>22</v>
      </c>
      <c r="Q324" t="s">
        <v>46</v>
      </c>
    </row>
    <row r="325" spans="1:18" x14ac:dyDescent="0.25">
      <c r="A325" s="1">
        <v>46183</v>
      </c>
      <c r="B325" t="s">
        <v>53</v>
      </c>
      <c r="C325" t="s">
        <v>45</v>
      </c>
      <c r="D325" t="s">
        <v>19</v>
      </c>
      <c r="E325" t="s">
        <v>40</v>
      </c>
      <c r="F325" t="s">
        <v>41</v>
      </c>
      <c r="G325">
        <v>44</v>
      </c>
      <c r="H325">
        <v>35</v>
      </c>
      <c r="I325">
        <v>9</v>
      </c>
      <c r="J325">
        <v>4.5999999999999996</v>
      </c>
      <c r="K325">
        <v>161</v>
      </c>
      <c r="L325">
        <v>41.4</v>
      </c>
      <c r="M325">
        <v>2.8</v>
      </c>
      <c r="N325">
        <v>57.5</v>
      </c>
      <c r="O325">
        <v>0.20449999999999999</v>
      </c>
      <c r="P325" t="s">
        <v>22</v>
      </c>
      <c r="Q325" t="s">
        <v>46</v>
      </c>
    </row>
    <row r="326" spans="1:18" x14ac:dyDescent="0.25">
      <c r="A326" s="1">
        <v>46183</v>
      </c>
      <c r="B326" t="s">
        <v>53</v>
      </c>
      <c r="C326" t="s">
        <v>45</v>
      </c>
      <c r="D326" t="s">
        <v>19</v>
      </c>
      <c r="E326" t="s">
        <v>42</v>
      </c>
      <c r="F326" t="s">
        <v>41</v>
      </c>
      <c r="G326">
        <v>28</v>
      </c>
      <c r="H326">
        <v>23</v>
      </c>
      <c r="I326">
        <v>5</v>
      </c>
      <c r="J326">
        <v>4.8</v>
      </c>
      <c r="K326">
        <v>110.4</v>
      </c>
      <c r="L326">
        <v>24</v>
      </c>
      <c r="M326">
        <v>2.0099999999999998</v>
      </c>
      <c r="N326">
        <v>54.93</v>
      </c>
      <c r="O326">
        <v>0.17860000000000001</v>
      </c>
      <c r="P326" t="s">
        <v>22</v>
      </c>
      <c r="Q326" t="s">
        <v>46</v>
      </c>
    </row>
    <row r="327" spans="1:18" x14ac:dyDescent="0.25">
      <c r="A327" s="1">
        <v>46183</v>
      </c>
      <c r="B327" t="s">
        <v>53</v>
      </c>
      <c r="C327" t="s">
        <v>45</v>
      </c>
      <c r="D327" t="s">
        <v>43</v>
      </c>
      <c r="E327" t="s">
        <v>20</v>
      </c>
      <c r="F327" t="s">
        <v>21</v>
      </c>
      <c r="G327">
        <v>55</v>
      </c>
      <c r="H327">
        <v>45</v>
      </c>
      <c r="I327">
        <v>10</v>
      </c>
      <c r="J327">
        <v>2.5</v>
      </c>
      <c r="K327">
        <v>112.5</v>
      </c>
      <c r="L327">
        <v>25</v>
      </c>
      <c r="M327">
        <v>2.5499999999999998</v>
      </c>
      <c r="N327">
        <v>44.12</v>
      </c>
      <c r="O327">
        <v>0.18179999999999999</v>
      </c>
      <c r="P327" t="s">
        <v>22</v>
      </c>
      <c r="Q327" t="s">
        <v>46</v>
      </c>
      <c r="R327" t="s">
        <v>24</v>
      </c>
    </row>
    <row r="328" spans="1:18" x14ac:dyDescent="0.25">
      <c r="A328" s="1">
        <v>46183</v>
      </c>
      <c r="B328" t="s">
        <v>53</v>
      </c>
      <c r="C328" t="s">
        <v>45</v>
      </c>
      <c r="D328" t="s">
        <v>43</v>
      </c>
      <c r="E328" t="s">
        <v>25</v>
      </c>
      <c r="F328" t="s">
        <v>21</v>
      </c>
      <c r="G328">
        <v>41</v>
      </c>
      <c r="H328">
        <v>39</v>
      </c>
      <c r="I328">
        <v>2</v>
      </c>
      <c r="J328">
        <v>2.8</v>
      </c>
      <c r="K328">
        <v>109.2</v>
      </c>
      <c r="L328">
        <v>5.6</v>
      </c>
      <c r="M328">
        <v>2.15</v>
      </c>
      <c r="N328">
        <v>50.79</v>
      </c>
      <c r="O328">
        <v>4.8800000000000003E-2</v>
      </c>
      <c r="P328" t="s">
        <v>22</v>
      </c>
      <c r="Q328" t="s">
        <v>46</v>
      </c>
    </row>
    <row r="329" spans="1:18" x14ac:dyDescent="0.25">
      <c r="A329" s="1">
        <v>46183</v>
      </c>
      <c r="B329" t="s">
        <v>53</v>
      </c>
      <c r="C329" t="s">
        <v>45</v>
      </c>
      <c r="D329" t="s">
        <v>43</v>
      </c>
      <c r="E329" t="s">
        <v>26</v>
      </c>
      <c r="F329" t="s">
        <v>21</v>
      </c>
      <c r="G329">
        <v>36</v>
      </c>
      <c r="H329">
        <v>32</v>
      </c>
      <c r="I329">
        <v>4</v>
      </c>
      <c r="J329">
        <v>3.1</v>
      </c>
      <c r="K329">
        <v>99.2</v>
      </c>
      <c r="L329">
        <v>12.4</v>
      </c>
      <c r="M329">
        <v>1.9</v>
      </c>
      <c r="N329">
        <v>52.21</v>
      </c>
      <c r="O329">
        <v>0.1111</v>
      </c>
      <c r="P329" t="s">
        <v>35</v>
      </c>
      <c r="Q329" t="s">
        <v>46</v>
      </c>
      <c r="R329" t="s">
        <v>36</v>
      </c>
    </row>
    <row r="330" spans="1:18" x14ac:dyDescent="0.25">
      <c r="A330" s="1">
        <v>46183</v>
      </c>
      <c r="B330" t="s">
        <v>53</v>
      </c>
      <c r="C330" t="s">
        <v>45</v>
      </c>
      <c r="D330" t="s">
        <v>43</v>
      </c>
      <c r="E330" t="s">
        <v>27</v>
      </c>
      <c r="F330" t="s">
        <v>28</v>
      </c>
      <c r="G330">
        <v>29</v>
      </c>
      <c r="H330">
        <v>23</v>
      </c>
      <c r="I330">
        <v>6</v>
      </c>
      <c r="J330">
        <v>4.2</v>
      </c>
      <c r="K330">
        <v>96.6</v>
      </c>
      <c r="L330">
        <v>25.2</v>
      </c>
      <c r="M330">
        <v>2.33</v>
      </c>
      <c r="N330">
        <v>41.46</v>
      </c>
      <c r="O330">
        <v>0.2069</v>
      </c>
      <c r="P330" t="s">
        <v>22</v>
      </c>
      <c r="Q330" t="s">
        <v>46</v>
      </c>
    </row>
    <row r="331" spans="1:18" x14ac:dyDescent="0.25">
      <c r="A331" s="1">
        <v>46183</v>
      </c>
      <c r="B331" t="s">
        <v>53</v>
      </c>
      <c r="C331" t="s">
        <v>45</v>
      </c>
      <c r="D331" t="s">
        <v>43</v>
      </c>
      <c r="E331" t="s">
        <v>29</v>
      </c>
      <c r="F331" t="s">
        <v>28</v>
      </c>
      <c r="G331">
        <v>42</v>
      </c>
      <c r="H331">
        <v>31</v>
      </c>
      <c r="I331">
        <v>11</v>
      </c>
      <c r="J331">
        <v>2.2999999999999998</v>
      </c>
      <c r="K331">
        <v>71.3</v>
      </c>
      <c r="L331">
        <v>25.3</v>
      </c>
      <c r="M331">
        <v>3.12</v>
      </c>
      <c r="N331">
        <v>22.85</v>
      </c>
      <c r="O331">
        <v>0.26190000000000002</v>
      </c>
      <c r="P331" t="s">
        <v>22</v>
      </c>
      <c r="Q331" t="s">
        <v>46</v>
      </c>
      <c r="R331" t="s">
        <v>24</v>
      </c>
    </row>
    <row r="332" spans="1:18" x14ac:dyDescent="0.25">
      <c r="A332" s="1">
        <v>46183</v>
      </c>
      <c r="B332" t="s">
        <v>53</v>
      </c>
      <c r="C332" t="s">
        <v>45</v>
      </c>
      <c r="D332" t="s">
        <v>43</v>
      </c>
      <c r="E332" t="s">
        <v>30</v>
      </c>
      <c r="F332" t="s">
        <v>28</v>
      </c>
      <c r="G332">
        <v>22</v>
      </c>
      <c r="H332">
        <v>17</v>
      </c>
      <c r="I332">
        <v>5</v>
      </c>
      <c r="J332">
        <v>3.8</v>
      </c>
      <c r="K332">
        <v>64.599999999999994</v>
      </c>
      <c r="L332">
        <v>19</v>
      </c>
      <c r="M332">
        <v>1.72</v>
      </c>
      <c r="N332">
        <v>37.56</v>
      </c>
      <c r="O332">
        <v>0.2273</v>
      </c>
      <c r="P332" t="s">
        <v>22</v>
      </c>
      <c r="Q332" t="s">
        <v>46</v>
      </c>
    </row>
    <row r="333" spans="1:18" x14ac:dyDescent="0.25">
      <c r="A333" s="1">
        <v>46183</v>
      </c>
      <c r="B333" t="s">
        <v>53</v>
      </c>
      <c r="C333" t="s">
        <v>45</v>
      </c>
      <c r="D333" t="s">
        <v>43</v>
      </c>
      <c r="E333" t="s">
        <v>31</v>
      </c>
      <c r="F333" t="s">
        <v>32</v>
      </c>
      <c r="G333">
        <v>39</v>
      </c>
      <c r="H333">
        <v>31</v>
      </c>
      <c r="I333">
        <v>8</v>
      </c>
      <c r="J333">
        <v>2.9</v>
      </c>
      <c r="K333">
        <v>89.9</v>
      </c>
      <c r="L333">
        <v>23.2</v>
      </c>
      <c r="M333">
        <v>2.16</v>
      </c>
      <c r="N333">
        <v>41.62</v>
      </c>
      <c r="O333">
        <v>0.2051</v>
      </c>
      <c r="P333" t="s">
        <v>22</v>
      </c>
      <c r="Q333" t="s">
        <v>46</v>
      </c>
    </row>
    <row r="334" spans="1:18" x14ac:dyDescent="0.25">
      <c r="A334" s="1">
        <v>46183</v>
      </c>
      <c r="B334" t="s">
        <v>53</v>
      </c>
      <c r="C334" t="s">
        <v>45</v>
      </c>
      <c r="D334" t="s">
        <v>43</v>
      </c>
      <c r="E334" t="s">
        <v>33</v>
      </c>
      <c r="F334" t="s">
        <v>32</v>
      </c>
      <c r="G334">
        <v>33</v>
      </c>
      <c r="H334">
        <v>26</v>
      </c>
      <c r="I334">
        <v>7</v>
      </c>
      <c r="J334">
        <v>3</v>
      </c>
      <c r="K334">
        <v>78</v>
      </c>
      <c r="L334">
        <v>21</v>
      </c>
      <c r="M334">
        <v>1.95</v>
      </c>
      <c r="N334">
        <v>40</v>
      </c>
      <c r="O334">
        <v>0.21210000000000001</v>
      </c>
      <c r="P334" t="s">
        <v>22</v>
      </c>
      <c r="Q334" t="s">
        <v>46</v>
      </c>
    </row>
    <row r="335" spans="1:18" x14ac:dyDescent="0.25">
      <c r="A335" s="1">
        <v>46183</v>
      </c>
      <c r="B335" t="s">
        <v>53</v>
      </c>
      <c r="C335" t="s">
        <v>45</v>
      </c>
      <c r="D335" t="s">
        <v>43</v>
      </c>
      <c r="E335" t="s">
        <v>34</v>
      </c>
      <c r="F335" t="s">
        <v>32</v>
      </c>
      <c r="G335">
        <v>27</v>
      </c>
      <c r="H335">
        <v>24</v>
      </c>
      <c r="I335">
        <v>3</v>
      </c>
      <c r="J335">
        <v>3.5</v>
      </c>
      <c r="K335">
        <v>84</v>
      </c>
      <c r="L335">
        <v>10.5</v>
      </c>
      <c r="M335">
        <v>1.54</v>
      </c>
      <c r="N335">
        <v>54.55</v>
      </c>
      <c r="O335">
        <v>0.1111</v>
      </c>
      <c r="P335" t="s">
        <v>22</v>
      </c>
      <c r="Q335" t="s">
        <v>46</v>
      </c>
    </row>
    <row r="336" spans="1:18" x14ac:dyDescent="0.25">
      <c r="A336" s="1">
        <v>46183</v>
      </c>
      <c r="B336" t="s">
        <v>53</v>
      </c>
      <c r="C336" t="s">
        <v>45</v>
      </c>
      <c r="D336" t="s">
        <v>43</v>
      </c>
      <c r="E336" t="s">
        <v>37</v>
      </c>
      <c r="F336" t="s">
        <v>38</v>
      </c>
      <c r="G336">
        <v>90</v>
      </c>
      <c r="H336">
        <v>85</v>
      </c>
      <c r="I336">
        <v>5</v>
      </c>
      <c r="J336">
        <v>2.4</v>
      </c>
      <c r="K336">
        <v>204</v>
      </c>
      <c r="L336">
        <v>12</v>
      </c>
      <c r="M336">
        <v>1.96</v>
      </c>
      <c r="N336">
        <v>104.08</v>
      </c>
      <c r="O336">
        <v>5.5599999999999997E-2</v>
      </c>
      <c r="P336" t="s">
        <v>22</v>
      </c>
      <c r="Q336" t="s">
        <v>46</v>
      </c>
    </row>
    <row r="337" spans="1:18" x14ac:dyDescent="0.25">
      <c r="A337" s="1">
        <v>46183</v>
      </c>
      <c r="B337" t="s">
        <v>53</v>
      </c>
      <c r="C337" t="s">
        <v>45</v>
      </c>
      <c r="D337" t="s">
        <v>43</v>
      </c>
      <c r="E337" t="s">
        <v>39</v>
      </c>
      <c r="F337" t="s">
        <v>38</v>
      </c>
      <c r="G337">
        <v>47</v>
      </c>
      <c r="H337">
        <v>41</v>
      </c>
      <c r="I337">
        <v>6</v>
      </c>
      <c r="J337">
        <v>1.8</v>
      </c>
      <c r="K337">
        <v>73.8</v>
      </c>
      <c r="L337">
        <v>10.8</v>
      </c>
      <c r="M337">
        <v>0.97</v>
      </c>
      <c r="N337">
        <v>76.08</v>
      </c>
      <c r="O337">
        <v>0.12770000000000001</v>
      </c>
      <c r="P337" t="s">
        <v>22</v>
      </c>
      <c r="Q337" t="s">
        <v>46</v>
      </c>
    </row>
    <row r="338" spans="1:18" x14ac:dyDescent="0.25">
      <c r="A338" s="1">
        <v>46183</v>
      </c>
      <c r="B338" t="s">
        <v>53</v>
      </c>
      <c r="C338" t="s">
        <v>45</v>
      </c>
      <c r="D338" t="s">
        <v>43</v>
      </c>
      <c r="E338" t="s">
        <v>40</v>
      </c>
      <c r="F338" t="s">
        <v>41</v>
      </c>
      <c r="G338">
        <v>36</v>
      </c>
      <c r="H338">
        <v>29</v>
      </c>
      <c r="I338">
        <v>7</v>
      </c>
      <c r="J338">
        <v>4.5999999999999996</v>
      </c>
      <c r="K338">
        <v>133.4</v>
      </c>
      <c r="L338">
        <v>32.200000000000003</v>
      </c>
      <c r="M338">
        <v>2.2400000000000002</v>
      </c>
      <c r="N338">
        <v>59.55</v>
      </c>
      <c r="O338">
        <v>0.19439999999999999</v>
      </c>
      <c r="P338" t="s">
        <v>22</v>
      </c>
      <c r="Q338" t="s">
        <v>46</v>
      </c>
    </row>
    <row r="339" spans="1:18" x14ac:dyDescent="0.25">
      <c r="A339" s="1">
        <v>46183</v>
      </c>
      <c r="B339" t="s">
        <v>53</v>
      </c>
      <c r="C339" t="s">
        <v>45</v>
      </c>
      <c r="D339" t="s">
        <v>43</v>
      </c>
      <c r="E339" t="s">
        <v>42</v>
      </c>
      <c r="F339" t="s">
        <v>41</v>
      </c>
      <c r="G339">
        <v>24</v>
      </c>
      <c r="H339">
        <v>19</v>
      </c>
      <c r="I339">
        <v>5</v>
      </c>
      <c r="J339">
        <v>4.8</v>
      </c>
      <c r="K339">
        <v>91.2</v>
      </c>
      <c r="L339">
        <v>24</v>
      </c>
      <c r="M339">
        <v>1.72</v>
      </c>
      <c r="N339">
        <v>53.02</v>
      </c>
      <c r="O339">
        <v>0.20830000000000001</v>
      </c>
      <c r="P339" t="s">
        <v>22</v>
      </c>
      <c r="Q339" t="s">
        <v>46</v>
      </c>
    </row>
    <row r="340" spans="1:18" x14ac:dyDescent="0.25">
      <c r="A340" s="1">
        <v>46184</v>
      </c>
      <c r="B340" t="s">
        <v>53</v>
      </c>
      <c r="C340" t="s">
        <v>48</v>
      </c>
      <c r="D340" t="s">
        <v>19</v>
      </c>
      <c r="E340" t="s">
        <v>20</v>
      </c>
      <c r="F340" t="s">
        <v>21</v>
      </c>
      <c r="G340">
        <v>81</v>
      </c>
      <c r="H340">
        <v>73</v>
      </c>
      <c r="I340">
        <v>8</v>
      </c>
      <c r="J340">
        <v>2.5</v>
      </c>
      <c r="K340">
        <v>182.5</v>
      </c>
      <c r="L340">
        <v>20</v>
      </c>
      <c r="M340">
        <v>3.98</v>
      </c>
      <c r="N340">
        <v>45.85</v>
      </c>
      <c r="O340">
        <v>9.8799999999999999E-2</v>
      </c>
      <c r="P340" t="s">
        <v>35</v>
      </c>
      <c r="Q340" t="s">
        <v>46</v>
      </c>
      <c r="R340" t="s">
        <v>47</v>
      </c>
    </row>
    <row r="341" spans="1:18" x14ac:dyDescent="0.25">
      <c r="A341" s="1">
        <v>46184</v>
      </c>
      <c r="B341" t="s">
        <v>53</v>
      </c>
      <c r="C341" t="s">
        <v>48</v>
      </c>
      <c r="D341" t="s">
        <v>19</v>
      </c>
      <c r="E341" t="s">
        <v>25</v>
      </c>
      <c r="F341" t="s">
        <v>21</v>
      </c>
      <c r="G341">
        <v>59</v>
      </c>
      <c r="H341">
        <v>49</v>
      </c>
      <c r="I341">
        <v>10</v>
      </c>
      <c r="J341">
        <v>2.8</v>
      </c>
      <c r="K341">
        <v>137.19999999999999</v>
      </c>
      <c r="L341">
        <v>28</v>
      </c>
      <c r="M341">
        <v>2.71</v>
      </c>
      <c r="N341">
        <v>50.63</v>
      </c>
      <c r="O341">
        <v>0.16950000000000001</v>
      </c>
      <c r="P341" t="s">
        <v>22</v>
      </c>
      <c r="Q341" t="s">
        <v>46</v>
      </c>
      <c r="R341" t="s">
        <v>24</v>
      </c>
    </row>
    <row r="342" spans="1:18" x14ac:dyDescent="0.25">
      <c r="A342" s="1">
        <v>46184</v>
      </c>
      <c r="B342" t="s">
        <v>53</v>
      </c>
      <c r="C342" t="s">
        <v>48</v>
      </c>
      <c r="D342" t="s">
        <v>19</v>
      </c>
      <c r="E342" t="s">
        <v>26</v>
      </c>
      <c r="F342" t="s">
        <v>21</v>
      </c>
      <c r="G342">
        <v>48</v>
      </c>
      <c r="H342">
        <v>38</v>
      </c>
      <c r="I342">
        <v>10</v>
      </c>
      <c r="J342">
        <v>3.1</v>
      </c>
      <c r="K342">
        <v>117.8</v>
      </c>
      <c r="L342">
        <v>31</v>
      </c>
      <c r="M342">
        <v>2.5099999999999998</v>
      </c>
      <c r="N342">
        <v>46.93</v>
      </c>
      <c r="O342">
        <v>0.20830000000000001</v>
      </c>
      <c r="P342" t="s">
        <v>22</v>
      </c>
      <c r="Q342" t="s">
        <v>46</v>
      </c>
      <c r="R342" t="s">
        <v>24</v>
      </c>
    </row>
    <row r="343" spans="1:18" x14ac:dyDescent="0.25">
      <c r="A343" s="1">
        <v>46184</v>
      </c>
      <c r="B343" t="s">
        <v>53</v>
      </c>
      <c r="C343" t="s">
        <v>48</v>
      </c>
      <c r="D343" t="s">
        <v>19</v>
      </c>
      <c r="E343" t="s">
        <v>27</v>
      </c>
      <c r="F343" t="s">
        <v>28</v>
      </c>
      <c r="G343">
        <v>36</v>
      </c>
      <c r="H343">
        <v>36</v>
      </c>
      <c r="I343">
        <v>0</v>
      </c>
      <c r="J343">
        <v>4.2</v>
      </c>
      <c r="K343">
        <v>151.19999999999999</v>
      </c>
      <c r="L343">
        <v>0</v>
      </c>
      <c r="M343">
        <v>2.82</v>
      </c>
      <c r="N343">
        <v>53.62</v>
      </c>
      <c r="O343">
        <v>0</v>
      </c>
      <c r="P343" t="s">
        <v>22</v>
      </c>
      <c r="Q343" t="s">
        <v>46</v>
      </c>
    </row>
    <row r="344" spans="1:18" x14ac:dyDescent="0.25">
      <c r="A344" s="1">
        <v>46184</v>
      </c>
      <c r="B344" t="s">
        <v>53</v>
      </c>
      <c r="C344" t="s">
        <v>48</v>
      </c>
      <c r="D344" t="s">
        <v>19</v>
      </c>
      <c r="E344" t="s">
        <v>29</v>
      </c>
      <c r="F344" t="s">
        <v>28</v>
      </c>
      <c r="G344">
        <v>57</v>
      </c>
      <c r="H344">
        <v>42</v>
      </c>
      <c r="I344">
        <v>15</v>
      </c>
      <c r="J344">
        <v>2.2999999999999998</v>
      </c>
      <c r="K344">
        <v>96.6</v>
      </c>
      <c r="L344">
        <v>34.5</v>
      </c>
      <c r="M344">
        <v>4.13</v>
      </c>
      <c r="N344">
        <v>23.39</v>
      </c>
      <c r="O344">
        <v>0.26319999999999999</v>
      </c>
      <c r="P344" t="s">
        <v>22</v>
      </c>
      <c r="Q344" t="s">
        <v>46</v>
      </c>
      <c r="R344" t="s">
        <v>24</v>
      </c>
    </row>
    <row r="345" spans="1:18" x14ac:dyDescent="0.25">
      <c r="A345" s="1">
        <v>46184</v>
      </c>
      <c r="B345" t="s">
        <v>53</v>
      </c>
      <c r="C345" t="s">
        <v>48</v>
      </c>
      <c r="D345" t="s">
        <v>19</v>
      </c>
      <c r="E345" t="s">
        <v>30</v>
      </c>
      <c r="F345" t="s">
        <v>28</v>
      </c>
      <c r="G345">
        <v>29</v>
      </c>
      <c r="H345">
        <v>22</v>
      </c>
      <c r="I345">
        <v>7</v>
      </c>
      <c r="J345">
        <v>3.8</v>
      </c>
      <c r="K345">
        <v>83.6</v>
      </c>
      <c r="L345">
        <v>26.6</v>
      </c>
      <c r="M345">
        <v>2.29</v>
      </c>
      <c r="N345">
        <v>36.51</v>
      </c>
      <c r="O345">
        <v>0.2414</v>
      </c>
      <c r="P345" t="s">
        <v>22</v>
      </c>
      <c r="Q345" t="s">
        <v>46</v>
      </c>
    </row>
    <row r="346" spans="1:18" x14ac:dyDescent="0.25">
      <c r="A346" s="1">
        <v>46184</v>
      </c>
      <c r="B346" t="s">
        <v>53</v>
      </c>
      <c r="C346" t="s">
        <v>48</v>
      </c>
      <c r="D346" t="s">
        <v>19</v>
      </c>
      <c r="E346" t="s">
        <v>31</v>
      </c>
      <c r="F346" t="s">
        <v>32</v>
      </c>
      <c r="G346">
        <v>46</v>
      </c>
      <c r="H346">
        <v>39</v>
      </c>
      <c r="I346">
        <v>7</v>
      </c>
      <c r="J346">
        <v>2.9</v>
      </c>
      <c r="K346">
        <v>113.1</v>
      </c>
      <c r="L346">
        <v>20.3</v>
      </c>
      <c r="M346">
        <v>2.4300000000000002</v>
      </c>
      <c r="N346">
        <v>46.54</v>
      </c>
      <c r="O346">
        <v>0.1522</v>
      </c>
      <c r="P346" t="s">
        <v>22</v>
      </c>
      <c r="Q346" t="s">
        <v>46</v>
      </c>
    </row>
    <row r="347" spans="1:18" x14ac:dyDescent="0.25">
      <c r="A347" s="1">
        <v>46184</v>
      </c>
      <c r="B347" t="s">
        <v>53</v>
      </c>
      <c r="C347" t="s">
        <v>48</v>
      </c>
      <c r="D347" t="s">
        <v>19</v>
      </c>
      <c r="E347" t="s">
        <v>33</v>
      </c>
      <c r="F347" t="s">
        <v>32</v>
      </c>
      <c r="G347">
        <v>43</v>
      </c>
      <c r="H347">
        <v>38</v>
      </c>
      <c r="I347">
        <v>5</v>
      </c>
      <c r="J347">
        <v>3</v>
      </c>
      <c r="K347">
        <v>114</v>
      </c>
      <c r="L347">
        <v>15</v>
      </c>
      <c r="M347">
        <v>2.36</v>
      </c>
      <c r="N347">
        <v>48.31</v>
      </c>
      <c r="O347">
        <v>0.1163</v>
      </c>
      <c r="P347" t="s">
        <v>22</v>
      </c>
      <c r="Q347" t="s">
        <v>46</v>
      </c>
    </row>
    <row r="348" spans="1:18" x14ac:dyDescent="0.25">
      <c r="A348" s="1">
        <v>46184</v>
      </c>
      <c r="B348" t="s">
        <v>53</v>
      </c>
      <c r="C348" t="s">
        <v>48</v>
      </c>
      <c r="D348" t="s">
        <v>19</v>
      </c>
      <c r="E348" t="s">
        <v>34</v>
      </c>
      <c r="F348" t="s">
        <v>32</v>
      </c>
      <c r="G348">
        <v>33</v>
      </c>
      <c r="H348">
        <v>27</v>
      </c>
      <c r="I348">
        <v>6</v>
      </c>
      <c r="J348">
        <v>3.5</v>
      </c>
      <c r="K348">
        <v>94.5</v>
      </c>
      <c r="L348">
        <v>21</v>
      </c>
      <c r="M348">
        <v>1.71</v>
      </c>
      <c r="N348">
        <v>55.26</v>
      </c>
      <c r="O348">
        <v>0.18179999999999999</v>
      </c>
      <c r="P348" t="s">
        <v>22</v>
      </c>
      <c r="Q348" t="s">
        <v>46</v>
      </c>
    </row>
    <row r="349" spans="1:18" x14ac:dyDescent="0.25">
      <c r="A349" s="1">
        <v>46184</v>
      </c>
      <c r="B349" t="s">
        <v>53</v>
      </c>
      <c r="C349" t="s">
        <v>48</v>
      </c>
      <c r="D349" t="s">
        <v>19</v>
      </c>
      <c r="E349" t="s">
        <v>37</v>
      </c>
      <c r="F349" t="s">
        <v>38</v>
      </c>
      <c r="G349">
        <v>126</v>
      </c>
      <c r="H349">
        <v>113</v>
      </c>
      <c r="I349">
        <v>13</v>
      </c>
      <c r="J349">
        <v>2.4</v>
      </c>
      <c r="K349">
        <v>271.2</v>
      </c>
      <c r="L349">
        <v>31.2</v>
      </c>
      <c r="M349">
        <v>2.35</v>
      </c>
      <c r="N349">
        <v>115.4</v>
      </c>
      <c r="O349">
        <v>0.1032</v>
      </c>
      <c r="P349" t="s">
        <v>22</v>
      </c>
      <c r="Q349" t="s">
        <v>46</v>
      </c>
    </row>
    <row r="350" spans="1:18" x14ac:dyDescent="0.25">
      <c r="A350" s="1">
        <v>46184</v>
      </c>
      <c r="B350" t="s">
        <v>53</v>
      </c>
      <c r="C350" t="s">
        <v>48</v>
      </c>
      <c r="D350" t="s">
        <v>19</v>
      </c>
      <c r="E350" t="s">
        <v>39</v>
      </c>
      <c r="F350" t="s">
        <v>38</v>
      </c>
      <c r="G350">
        <v>69</v>
      </c>
      <c r="H350">
        <v>60</v>
      </c>
      <c r="I350">
        <v>9</v>
      </c>
      <c r="J350">
        <v>1.8</v>
      </c>
      <c r="K350">
        <v>108</v>
      </c>
      <c r="L350">
        <v>16.2</v>
      </c>
      <c r="M350">
        <v>1.45</v>
      </c>
      <c r="N350">
        <v>74.48</v>
      </c>
      <c r="O350">
        <v>0.13039999999999999</v>
      </c>
      <c r="P350" t="s">
        <v>35</v>
      </c>
      <c r="Q350" t="s">
        <v>46</v>
      </c>
      <c r="R350" t="s">
        <v>36</v>
      </c>
    </row>
    <row r="351" spans="1:18" x14ac:dyDescent="0.25">
      <c r="A351" s="1">
        <v>46184</v>
      </c>
      <c r="B351" t="s">
        <v>53</v>
      </c>
      <c r="C351" t="s">
        <v>48</v>
      </c>
      <c r="D351" t="s">
        <v>19</v>
      </c>
      <c r="E351" t="s">
        <v>40</v>
      </c>
      <c r="F351" t="s">
        <v>41</v>
      </c>
      <c r="G351">
        <v>42</v>
      </c>
      <c r="H351">
        <v>38</v>
      </c>
      <c r="I351">
        <v>4</v>
      </c>
      <c r="J351">
        <v>4.5999999999999996</v>
      </c>
      <c r="K351">
        <v>174.8</v>
      </c>
      <c r="L351">
        <v>18.399999999999999</v>
      </c>
      <c r="M351">
        <v>2.75</v>
      </c>
      <c r="N351">
        <v>63.56</v>
      </c>
      <c r="O351">
        <v>9.5200000000000007E-2</v>
      </c>
      <c r="P351" t="s">
        <v>22</v>
      </c>
      <c r="Q351" t="s">
        <v>46</v>
      </c>
    </row>
    <row r="352" spans="1:18" x14ac:dyDescent="0.25">
      <c r="A352" s="1">
        <v>46184</v>
      </c>
      <c r="B352" t="s">
        <v>53</v>
      </c>
      <c r="C352" t="s">
        <v>48</v>
      </c>
      <c r="D352" t="s">
        <v>19</v>
      </c>
      <c r="E352" t="s">
        <v>42</v>
      </c>
      <c r="F352" t="s">
        <v>41</v>
      </c>
      <c r="G352">
        <v>31</v>
      </c>
      <c r="H352">
        <v>27</v>
      </c>
      <c r="I352">
        <v>4</v>
      </c>
      <c r="J352">
        <v>4.8</v>
      </c>
      <c r="K352">
        <v>129.6</v>
      </c>
      <c r="L352">
        <v>19.2</v>
      </c>
      <c r="M352">
        <v>1.94</v>
      </c>
      <c r="N352">
        <v>66.8</v>
      </c>
      <c r="O352">
        <v>0.129</v>
      </c>
      <c r="P352" t="s">
        <v>22</v>
      </c>
      <c r="Q352" t="s">
        <v>46</v>
      </c>
    </row>
    <row r="353" spans="1:18" x14ac:dyDescent="0.25">
      <c r="A353" s="1">
        <v>46184</v>
      </c>
      <c r="B353" t="s">
        <v>53</v>
      </c>
      <c r="C353" t="s">
        <v>48</v>
      </c>
      <c r="D353" t="s">
        <v>43</v>
      </c>
      <c r="E353" t="s">
        <v>20</v>
      </c>
      <c r="F353" t="s">
        <v>21</v>
      </c>
      <c r="G353">
        <v>63</v>
      </c>
      <c r="H353">
        <v>58</v>
      </c>
      <c r="I353">
        <v>5</v>
      </c>
      <c r="J353">
        <v>2.5</v>
      </c>
      <c r="K353">
        <v>145</v>
      </c>
      <c r="L353">
        <v>12.5</v>
      </c>
      <c r="M353">
        <v>3.04</v>
      </c>
      <c r="N353">
        <v>47.7</v>
      </c>
      <c r="O353">
        <v>7.9399999999999998E-2</v>
      </c>
      <c r="P353" t="s">
        <v>35</v>
      </c>
      <c r="Q353" t="s">
        <v>46</v>
      </c>
      <c r="R353" t="s">
        <v>47</v>
      </c>
    </row>
    <row r="354" spans="1:18" x14ac:dyDescent="0.25">
      <c r="A354" s="1">
        <v>46184</v>
      </c>
      <c r="B354" t="s">
        <v>53</v>
      </c>
      <c r="C354" t="s">
        <v>48</v>
      </c>
      <c r="D354" t="s">
        <v>43</v>
      </c>
      <c r="E354" t="s">
        <v>25</v>
      </c>
      <c r="F354" t="s">
        <v>21</v>
      </c>
      <c r="G354">
        <v>53</v>
      </c>
      <c r="H354">
        <v>43</v>
      </c>
      <c r="I354">
        <v>10</v>
      </c>
      <c r="J354">
        <v>2.8</v>
      </c>
      <c r="K354">
        <v>120.4</v>
      </c>
      <c r="L354">
        <v>28</v>
      </c>
      <c r="M354">
        <v>2.58</v>
      </c>
      <c r="N354">
        <v>46.67</v>
      </c>
      <c r="O354">
        <v>0.18870000000000001</v>
      </c>
      <c r="P354" t="s">
        <v>35</v>
      </c>
      <c r="Q354" t="s">
        <v>46</v>
      </c>
      <c r="R354" t="s">
        <v>24</v>
      </c>
    </row>
    <row r="355" spans="1:18" x14ac:dyDescent="0.25">
      <c r="A355" s="1">
        <v>46184</v>
      </c>
      <c r="B355" t="s">
        <v>53</v>
      </c>
      <c r="C355" t="s">
        <v>48</v>
      </c>
      <c r="D355" t="s">
        <v>43</v>
      </c>
      <c r="E355" t="s">
        <v>26</v>
      </c>
      <c r="F355" t="s">
        <v>21</v>
      </c>
      <c r="G355">
        <v>41</v>
      </c>
      <c r="H355">
        <v>30</v>
      </c>
      <c r="I355">
        <v>11</v>
      </c>
      <c r="J355">
        <v>3.1</v>
      </c>
      <c r="K355">
        <v>93</v>
      </c>
      <c r="L355">
        <v>34.1</v>
      </c>
      <c r="M355">
        <v>1.9</v>
      </c>
      <c r="N355">
        <v>48.95</v>
      </c>
      <c r="O355">
        <v>0.26829999999999998</v>
      </c>
      <c r="P355" t="s">
        <v>22</v>
      </c>
      <c r="Q355" t="s">
        <v>46</v>
      </c>
      <c r="R355" t="s">
        <v>24</v>
      </c>
    </row>
    <row r="356" spans="1:18" x14ac:dyDescent="0.25">
      <c r="A356" s="1">
        <v>46184</v>
      </c>
      <c r="B356" t="s">
        <v>53</v>
      </c>
      <c r="C356" t="s">
        <v>48</v>
      </c>
      <c r="D356" t="s">
        <v>43</v>
      </c>
      <c r="E356" t="s">
        <v>27</v>
      </c>
      <c r="F356" t="s">
        <v>28</v>
      </c>
      <c r="G356">
        <v>30</v>
      </c>
      <c r="H356">
        <v>28</v>
      </c>
      <c r="I356">
        <v>2</v>
      </c>
      <c r="J356">
        <v>4.2</v>
      </c>
      <c r="K356">
        <v>117.6</v>
      </c>
      <c r="L356">
        <v>8.4</v>
      </c>
      <c r="M356">
        <v>2.34</v>
      </c>
      <c r="N356">
        <v>50.26</v>
      </c>
      <c r="O356">
        <v>6.6699999999999995E-2</v>
      </c>
      <c r="P356" t="s">
        <v>22</v>
      </c>
      <c r="Q356" t="s">
        <v>46</v>
      </c>
    </row>
    <row r="357" spans="1:18" x14ac:dyDescent="0.25">
      <c r="A357" s="1">
        <v>46184</v>
      </c>
      <c r="B357" t="s">
        <v>53</v>
      </c>
      <c r="C357" t="s">
        <v>48</v>
      </c>
      <c r="D357" t="s">
        <v>43</v>
      </c>
      <c r="E357" t="s">
        <v>29</v>
      </c>
      <c r="F357" t="s">
        <v>28</v>
      </c>
      <c r="G357">
        <v>44</v>
      </c>
      <c r="H357">
        <v>34</v>
      </c>
      <c r="I357">
        <v>10</v>
      </c>
      <c r="J357">
        <v>2.2999999999999998</v>
      </c>
      <c r="K357">
        <v>78.2</v>
      </c>
      <c r="L357">
        <v>23</v>
      </c>
      <c r="M357">
        <v>3.14</v>
      </c>
      <c r="N357">
        <v>24.9</v>
      </c>
      <c r="O357">
        <v>0.2273</v>
      </c>
      <c r="P357" t="s">
        <v>22</v>
      </c>
      <c r="Q357" t="s">
        <v>46</v>
      </c>
      <c r="R357" t="s">
        <v>24</v>
      </c>
    </row>
    <row r="358" spans="1:18" x14ac:dyDescent="0.25">
      <c r="A358" s="1">
        <v>46184</v>
      </c>
      <c r="B358" t="s">
        <v>53</v>
      </c>
      <c r="C358" t="s">
        <v>48</v>
      </c>
      <c r="D358" t="s">
        <v>43</v>
      </c>
      <c r="E358" t="s">
        <v>30</v>
      </c>
      <c r="F358" t="s">
        <v>28</v>
      </c>
      <c r="G358">
        <v>23</v>
      </c>
      <c r="H358">
        <v>17</v>
      </c>
      <c r="I358">
        <v>6</v>
      </c>
      <c r="J358">
        <v>3.8</v>
      </c>
      <c r="K358">
        <v>64.599999999999994</v>
      </c>
      <c r="L358">
        <v>22.8</v>
      </c>
      <c r="M358">
        <v>1.89</v>
      </c>
      <c r="N358">
        <v>34.18</v>
      </c>
      <c r="O358">
        <v>0.26090000000000002</v>
      </c>
      <c r="P358" t="s">
        <v>22</v>
      </c>
      <c r="Q358" t="s">
        <v>46</v>
      </c>
    </row>
    <row r="359" spans="1:18" x14ac:dyDescent="0.25">
      <c r="A359" s="1">
        <v>46184</v>
      </c>
      <c r="B359" t="s">
        <v>53</v>
      </c>
      <c r="C359" t="s">
        <v>48</v>
      </c>
      <c r="D359" t="s">
        <v>43</v>
      </c>
      <c r="E359" t="s">
        <v>31</v>
      </c>
      <c r="F359" t="s">
        <v>32</v>
      </c>
      <c r="G359">
        <v>41</v>
      </c>
      <c r="H359">
        <v>35</v>
      </c>
      <c r="I359">
        <v>6</v>
      </c>
      <c r="J359">
        <v>2.9</v>
      </c>
      <c r="K359">
        <v>101.5</v>
      </c>
      <c r="L359">
        <v>17.399999999999999</v>
      </c>
      <c r="M359">
        <v>2.34</v>
      </c>
      <c r="N359">
        <v>43.38</v>
      </c>
      <c r="O359">
        <v>0.14630000000000001</v>
      </c>
      <c r="P359" t="s">
        <v>22</v>
      </c>
      <c r="Q359" t="s">
        <v>46</v>
      </c>
    </row>
    <row r="360" spans="1:18" x14ac:dyDescent="0.25">
      <c r="A360" s="1">
        <v>46184</v>
      </c>
      <c r="B360" t="s">
        <v>53</v>
      </c>
      <c r="C360" t="s">
        <v>48</v>
      </c>
      <c r="D360" t="s">
        <v>43</v>
      </c>
      <c r="E360" t="s">
        <v>33</v>
      </c>
      <c r="F360" t="s">
        <v>32</v>
      </c>
      <c r="G360">
        <v>35</v>
      </c>
      <c r="H360">
        <v>28</v>
      </c>
      <c r="I360">
        <v>7</v>
      </c>
      <c r="J360">
        <v>3</v>
      </c>
      <c r="K360">
        <v>84</v>
      </c>
      <c r="L360">
        <v>21</v>
      </c>
      <c r="M360">
        <v>1.89</v>
      </c>
      <c r="N360">
        <v>44.44</v>
      </c>
      <c r="O360">
        <v>0.2</v>
      </c>
      <c r="P360" t="s">
        <v>22</v>
      </c>
      <c r="Q360" t="s">
        <v>46</v>
      </c>
    </row>
    <row r="361" spans="1:18" x14ac:dyDescent="0.25">
      <c r="A361" s="1">
        <v>46184</v>
      </c>
      <c r="B361" t="s">
        <v>53</v>
      </c>
      <c r="C361" t="s">
        <v>48</v>
      </c>
      <c r="D361" t="s">
        <v>43</v>
      </c>
      <c r="E361" t="s">
        <v>34</v>
      </c>
      <c r="F361" t="s">
        <v>32</v>
      </c>
      <c r="G361">
        <v>25</v>
      </c>
      <c r="H361">
        <v>20</v>
      </c>
      <c r="I361">
        <v>5</v>
      </c>
      <c r="J361">
        <v>3.5</v>
      </c>
      <c r="K361">
        <v>70</v>
      </c>
      <c r="L361">
        <v>17.5</v>
      </c>
      <c r="M361">
        <v>1.58</v>
      </c>
      <c r="N361">
        <v>44.3</v>
      </c>
      <c r="O361">
        <v>0.2</v>
      </c>
      <c r="P361" t="s">
        <v>22</v>
      </c>
      <c r="Q361" t="s">
        <v>46</v>
      </c>
    </row>
    <row r="362" spans="1:18" x14ac:dyDescent="0.25">
      <c r="A362" s="1">
        <v>46184</v>
      </c>
      <c r="B362" t="s">
        <v>53</v>
      </c>
      <c r="C362" t="s">
        <v>48</v>
      </c>
      <c r="D362" t="s">
        <v>43</v>
      </c>
      <c r="E362" t="s">
        <v>37</v>
      </c>
      <c r="F362" t="s">
        <v>38</v>
      </c>
      <c r="G362">
        <v>101</v>
      </c>
      <c r="H362">
        <v>90</v>
      </c>
      <c r="I362">
        <v>11</v>
      </c>
      <c r="J362">
        <v>2.4</v>
      </c>
      <c r="K362">
        <v>216</v>
      </c>
      <c r="L362">
        <v>26.4</v>
      </c>
      <c r="M362">
        <v>1.94</v>
      </c>
      <c r="N362">
        <v>111.34</v>
      </c>
      <c r="O362">
        <v>0.1089</v>
      </c>
      <c r="P362" t="s">
        <v>22</v>
      </c>
      <c r="Q362" t="s">
        <v>46</v>
      </c>
    </row>
    <row r="363" spans="1:18" x14ac:dyDescent="0.25">
      <c r="A363" s="1">
        <v>46184</v>
      </c>
      <c r="B363" t="s">
        <v>53</v>
      </c>
      <c r="C363" t="s">
        <v>48</v>
      </c>
      <c r="D363" t="s">
        <v>43</v>
      </c>
      <c r="E363" t="s">
        <v>39</v>
      </c>
      <c r="F363" t="s">
        <v>38</v>
      </c>
      <c r="G363">
        <v>48</v>
      </c>
      <c r="H363">
        <v>45</v>
      </c>
      <c r="I363">
        <v>3</v>
      </c>
      <c r="J363">
        <v>1.8</v>
      </c>
      <c r="K363">
        <v>81</v>
      </c>
      <c r="L363">
        <v>5.4</v>
      </c>
      <c r="M363">
        <v>1.1499999999999999</v>
      </c>
      <c r="N363">
        <v>70.430000000000007</v>
      </c>
      <c r="O363">
        <v>6.25E-2</v>
      </c>
      <c r="P363" t="s">
        <v>22</v>
      </c>
      <c r="Q363" t="s">
        <v>46</v>
      </c>
    </row>
    <row r="364" spans="1:18" x14ac:dyDescent="0.25">
      <c r="A364" s="1">
        <v>46184</v>
      </c>
      <c r="B364" t="s">
        <v>53</v>
      </c>
      <c r="C364" t="s">
        <v>48</v>
      </c>
      <c r="D364" t="s">
        <v>43</v>
      </c>
      <c r="E364" t="s">
        <v>40</v>
      </c>
      <c r="F364" t="s">
        <v>41</v>
      </c>
      <c r="G364">
        <v>39</v>
      </c>
      <c r="H364">
        <v>31</v>
      </c>
      <c r="I364">
        <v>8</v>
      </c>
      <c r="J364">
        <v>4.5999999999999996</v>
      </c>
      <c r="K364">
        <v>142.6</v>
      </c>
      <c r="L364">
        <v>36.799999999999997</v>
      </c>
      <c r="M364">
        <v>2.5</v>
      </c>
      <c r="N364">
        <v>57.04</v>
      </c>
      <c r="O364">
        <v>0.2051</v>
      </c>
      <c r="P364" t="s">
        <v>35</v>
      </c>
      <c r="Q364" t="s">
        <v>46</v>
      </c>
      <c r="R364" t="s">
        <v>36</v>
      </c>
    </row>
    <row r="365" spans="1:18" x14ac:dyDescent="0.25">
      <c r="A365" s="1">
        <v>46184</v>
      </c>
      <c r="B365" t="s">
        <v>53</v>
      </c>
      <c r="C365" t="s">
        <v>48</v>
      </c>
      <c r="D365" t="s">
        <v>43</v>
      </c>
      <c r="E365" t="s">
        <v>42</v>
      </c>
      <c r="F365" t="s">
        <v>41</v>
      </c>
      <c r="G365">
        <v>29</v>
      </c>
      <c r="H365">
        <v>25</v>
      </c>
      <c r="I365">
        <v>4</v>
      </c>
      <c r="J365">
        <v>4.8</v>
      </c>
      <c r="K365">
        <v>120</v>
      </c>
      <c r="L365">
        <v>19.2</v>
      </c>
      <c r="M365">
        <v>1.91</v>
      </c>
      <c r="N365">
        <v>62.83</v>
      </c>
      <c r="O365">
        <v>0.13789999999999999</v>
      </c>
      <c r="P365" t="s">
        <v>35</v>
      </c>
      <c r="Q365" t="s">
        <v>46</v>
      </c>
      <c r="R365" t="s">
        <v>47</v>
      </c>
    </row>
    <row r="366" spans="1:18" x14ac:dyDescent="0.25">
      <c r="A366" s="1">
        <v>46185</v>
      </c>
      <c r="B366" t="s">
        <v>53</v>
      </c>
      <c r="C366" t="s">
        <v>50</v>
      </c>
      <c r="D366" t="s">
        <v>19</v>
      </c>
      <c r="E366" t="s">
        <v>20</v>
      </c>
      <c r="F366" t="s">
        <v>21</v>
      </c>
      <c r="G366">
        <v>81</v>
      </c>
      <c r="H366">
        <v>75</v>
      </c>
      <c r="I366">
        <v>6</v>
      </c>
      <c r="J366">
        <v>2.5</v>
      </c>
      <c r="K366">
        <v>187.5</v>
      </c>
      <c r="L366">
        <v>15</v>
      </c>
      <c r="M366">
        <v>3.85</v>
      </c>
      <c r="N366">
        <v>48.7</v>
      </c>
      <c r="O366">
        <v>7.4099999999999999E-2</v>
      </c>
      <c r="P366" t="s">
        <v>22</v>
      </c>
      <c r="Q366" t="s">
        <v>52</v>
      </c>
      <c r="R366" t="s">
        <v>47</v>
      </c>
    </row>
    <row r="367" spans="1:18" x14ac:dyDescent="0.25">
      <c r="A367" s="1">
        <v>46185</v>
      </c>
      <c r="B367" t="s">
        <v>53</v>
      </c>
      <c r="C367" t="s">
        <v>50</v>
      </c>
      <c r="D367" t="s">
        <v>19</v>
      </c>
      <c r="E367" t="s">
        <v>25</v>
      </c>
      <c r="F367" t="s">
        <v>21</v>
      </c>
      <c r="G367">
        <v>64</v>
      </c>
      <c r="H367">
        <v>47</v>
      </c>
      <c r="I367">
        <v>17</v>
      </c>
      <c r="J367">
        <v>2.8</v>
      </c>
      <c r="K367">
        <v>131.6</v>
      </c>
      <c r="L367">
        <v>47.6</v>
      </c>
      <c r="M367">
        <v>3.11</v>
      </c>
      <c r="N367">
        <v>42.32</v>
      </c>
      <c r="O367">
        <v>0.2656</v>
      </c>
      <c r="P367" t="s">
        <v>22</v>
      </c>
      <c r="Q367" t="s">
        <v>52</v>
      </c>
      <c r="R367" t="s">
        <v>24</v>
      </c>
    </row>
    <row r="368" spans="1:18" x14ac:dyDescent="0.25">
      <c r="A368" s="1">
        <v>46185</v>
      </c>
      <c r="B368" t="s">
        <v>53</v>
      </c>
      <c r="C368" t="s">
        <v>50</v>
      </c>
      <c r="D368" t="s">
        <v>19</v>
      </c>
      <c r="E368" t="s">
        <v>26</v>
      </c>
      <c r="F368" t="s">
        <v>21</v>
      </c>
      <c r="G368">
        <v>50</v>
      </c>
      <c r="H368">
        <v>41</v>
      </c>
      <c r="I368">
        <v>9</v>
      </c>
      <c r="J368">
        <v>3.1</v>
      </c>
      <c r="K368">
        <v>127.1</v>
      </c>
      <c r="L368">
        <v>27.9</v>
      </c>
      <c r="M368">
        <v>2.3199999999999998</v>
      </c>
      <c r="N368">
        <v>54.78</v>
      </c>
      <c r="O368">
        <v>0.18</v>
      </c>
      <c r="P368" t="s">
        <v>22</v>
      </c>
      <c r="Q368" t="s">
        <v>52</v>
      </c>
    </row>
    <row r="369" spans="1:18" x14ac:dyDescent="0.25">
      <c r="A369" s="1">
        <v>46185</v>
      </c>
      <c r="B369" t="s">
        <v>53</v>
      </c>
      <c r="C369" t="s">
        <v>50</v>
      </c>
      <c r="D369" t="s">
        <v>19</v>
      </c>
      <c r="E369" t="s">
        <v>27</v>
      </c>
      <c r="F369" t="s">
        <v>28</v>
      </c>
      <c r="G369">
        <v>40</v>
      </c>
      <c r="H369">
        <v>36</v>
      </c>
      <c r="I369">
        <v>4</v>
      </c>
      <c r="J369">
        <v>4.2</v>
      </c>
      <c r="K369">
        <v>151.19999999999999</v>
      </c>
      <c r="L369">
        <v>16.8</v>
      </c>
      <c r="M369">
        <v>2.98</v>
      </c>
      <c r="N369">
        <v>50.74</v>
      </c>
      <c r="O369">
        <v>0.1</v>
      </c>
      <c r="P369" t="s">
        <v>22</v>
      </c>
      <c r="Q369" t="s">
        <v>52</v>
      </c>
    </row>
    <row r="370" spans="1:18" x14ac:dyDescent="0.25">
      <c r="A370" s="1">
        <v>46185</v>
      </c>
      <c r="B370" t="s">
        <v>53</v>
      </c>
      <c r="C370" t="s">
        <v>50</v>
      </c>
      <c r="D370" t="s">
        <v>19</v>
      </c>
      <c r="E370" t="s">
        <v>29</v>
      </c>
      <c r="F370" t="s">
        <v>28</v>
      </c>
      <c r="G370">
        <v>54</v>
      </c>
      <c r="H370">
        <v>42</v>
      </c>
      <c r="I370">
        <v>12</v>
      </c>
      <c r="J370">
        <v>2.2999999999999998</v>
      </c>
      <c r="K370">
        <v>96.6</v>
      </c>
      <c r="L370">
        <v>27.6</v>
      </c>
      <c r="M370">
        <v>4.09</v>
      </c>
      <c r="N370">
        <v>23.62</v>
      </c>
      <c r="O370">
        <v>0.22220000000000001</v>
      </c>
      <c r="P370" t="s">
        <v>22</v>
      </c>
      <c r="Q370" t="s">
        <v>52</v>
      </c>
      <c r="R370" t="s">
        <v>24</v>
      </c>
    </row>
    <row r="371" spans="1:18" x14ac:dyDescent="0.25">
      <c r="A371" s="1">
        <v>46185</v>
      </c>
      <c r="B371" t="s">
        <v>53</v>
      </c>
      <c r="C371" t="s">
        <v>50</v>
      </c>
      <c r="D371" t="s">
        <v>19</v>
      </c>
      <c r="E371" t="s">
        <v>30</v>
      </c>
      <c r="F371" t="s">
        <v>28</v>
      </c>
      <c r="G371">
        <v>32</v>
      </c>
      <c r="H371">
        <v>24</v>
      </c>
      <c r="I371">
        <v>8</v>
      </c>
      <c r="J371">
        <v>3.8</v>
      </c>
      <c r="K371">
        <v>91.2</v>
      </c>
      <c r="L371">
        <v>30.4</v>
      </c>
      <c r="M371">
        <v>2.58</v>
      </c>
      <c r="N371">
        <v>35.35</v>
      </c>
      <c r="O371">
        <v>0.25</v>
      </c>
      <c r="P371" t="s">
        <v>22</v>
      </c>
      <c r="Q371" t="s">
        <v>52</v>
      </c>
    </row>
    <row r="372" spans="1:18" x14ac:dyDescent="0.25">
      <c r="A372" s="1">
        <v>46185</v>
      </c>
      <c r="B372" t="s">
        <v>53</v>
      </c>
      <c r="C372" t="s">
        <v>50</v>
      </c>
      <c r="D372" t="s">
        <v>19</v>
      </c>
      <c r="E372" t="s">
        <v>31</v>
      </c>
      <c r="F372" t="s">
        <v>32</v>
      </c>
      <c r="G372">
        <v>55</v>
      </c>
      <c r="H372">
        <v>52</v>
      </c>
      <c r="I372">
        <v>3</v>
      </c>
      <c r="J372">
        <v>2.9</v>
      </c>
      <c r="K372">
        <v>150.80000000000001</v>
      </c>
      <c r="L372">
        <v>8.6999999999999993</v>
      </c>
      <c r="M372">
        <v>2.91</v>
      </c>
      <c r="N372">
        <v>51.82</v>
      </c>
      <c r="O372">
        <v>5.45E-2</v>
      </c>
      <c r="P372" t="s">
        <v>35</v>
      </c>
      <c r="Q372" t="s">
        <v>52</v>
      </c>
      <c r="R372" t="s">
        <v>47</v>
      </c>
    </row>
    <row r="373" spans="1:18" x14ac:dyDescent="0.25">
      <c r="A373" s="1">
        <v>46185</v>
      </c>
      <c r="B373" t="s">
        <v>53</v>
      </c>
      <c r="C373" t="s">
        <v>50</v>
      </c>
      <c r="D373" t="s">
        <v>19</v>
      </c>
      <c r="E373" t="s">
        <v>33</v>
      </c>
      <c r="F373" t="s">
        <v>32</v>
      </c>
      <c r="G373">
        <v>46</v>
      </c>
      <c r="H373">
        <v>41</v>
      </c>
      <c r="I373">
        <v>5</v>
      </c>
      <c r="J373">
        <v>3</v>
      </c>
      <c r="K373">
        <v>123</v>
      </c>
      <c r="L373">
        <v>15</v>
      </c>
      <c r="M373">
        <v>2.39</v>
      </c>
      <c r="N373">
        <v>51.46</v>
      </c>
      <c r="O373">
        <v>0.1087</v>
      </c>
      <c r="P373" t="s">
        <v>22</v>
      </c>
      <c r="Q373" t="s">
        <v>52</v>
      </c>
      <c r="R373" t="s">
        <v>47</v>
      </c>
    </row>
    <row r="374" spans="1:18" x14ac:dyDescent="0.25">
      <c r="A374" s="1">
        <v>46185</v>
      </c>
      <c r="B374" t="s">
        <v>53</v>
      </c>
      <c r="C374" t="s">
        <v>50</v>
      </c>
      <c r="D374" t="s">
        <v>19</v>
      </c>
      <c r="E374" t="s">
        <v>34</v>
      </c>
      <c r="F374" t="s">
        <v>32</v>
      </c>
      <c r="G374">
        <v>37</v>
      </c>
      <c r="H374">
        <v>27</v>
      </c>
      <c r="I374">
        <v>10</v>
      </c>
      <c r="J374">
        <v>3.5</v>
      </c>
      <c r="K374">
        <v>94.5</v>
      </c>
      <c r="L374">
        <v>35</v>
      </c>
      <c r="M374">
        <v>1.92</v>
      </c>
      <c r="N374">
        <v>49.22</v>
      </c>
      <c r="O374">
        <v>0.27029999999999998</v>
      </c>
      <c r="P374" t="s">
        <v>22</v>
      </c>
      <c r="Q374" t="s">
        <v>52</v>
      </c>
      <c r="R374" t="s">
        <v>24</v>
      </c>
    </row>
    <row r="375" spans="1:18" x14ac:dyDescent="0.25">
      <c r="A375" s="1">
        <v>46185</v>
      </c>
      <c r="B375" t="s">
        <v>53</v>
      </c>
      <c r="C375" t="s">
        <v>50</v>
      </c>
      <c r="D375" t="s">
        <v>19</v>
      </c>
      <c r="E375" t="s">
        <v>37</v>
      </c>
      <c r="F375" t="s">
        <v>38</v>
      </c>
      <c r="G375">
        <v>124</v>
      </c>
      <c r="H375">
        <v>115</v>
      </c>
      <c r="I375">
        <v>9</v>
      </c>
      <c r="J375">
        <v>2.4</v>
      </c>
      <c r="K375">
        <v>276</v>
      </c>
      <c r="L375">
        <v>21.6</v>
      </c>
      <c r="M375">
        <v>2.4500000000000002</v>
      </c>
      <c r="N375">
        <v>112.65</v>
      </c>
      <c r="O375">
        <v>7.2599999999999998E-2</v>
      </c>
      <c r="P375" t="s">
        <v>22</v>
      </c>
      <c r="Q375" t="s">
        <v>52</v>
      </c>
    </row>
    <row r="376" spans="1:18" x14ac:dyDescent="0.25">
      <c r="A376" s="1">
        <v>46185</v>
      </c>
      <c r="B376" t="s">
        <v>53</v>
      </c>
      <c r="C376" t="s">
        <v>50</v>
      </c>
      <c r="D376" t="s">
        <v>19</v>
      </c>
      <c r="E376" t="s">
        <v>39</v>
      </c>
      <c r="F376" t="s">
        <v>38</v>
      </c>
      <c r="G376">
        <v>72</v>
      </c>
      <c r="H376">
        <v>69</v>
      </c>
      <c r="I376">
        <v>3</v>
      </c>
      <c r="J376">
        <v>1.8</v>
      </c>
      <c r="K376">
        <v>124.2</v>
      </c>
      <c r="L376">
        <v>5.4</v>
      </c>
      <c r="M376">
        <v>1.46</v>
      </c>
      <c r="N376">
        <v>85.07</v>
      </c>
      <c r="O376">
        <v>4.1700000000000001E-2</v>
      </c>
      <c r="P376" t="s">
        <v>22</v>
      </c>
      <c r="Q376" t="s">
        <v>52</v>
      </c>
      <c r="R376" t="s">
        <v>47</v>
      </c>
    </row>
    <row r="377" spans="1:18" x14ac:dyDescent="0.25">
      <c r="A377" s="1">
        <v>46185</v>
      </c>
      <c r="B377" t="s">
        <v>53</v>
      </c>
      <c r="C377" t="s">
        <v>50</v>
      </c>
      <c r="D377" t="s">
        <v>19</v>
      </c>
      <c r="E377" t="s">
        <v>40</v>
      </c>
      <c r="F377" t="s">
        <v>41</v>
      </c>
      <c r="G377">
        <v>48</v>
      </c>
      <c r="H377">
        <v>40</v>
      </c>
      <c r="I377">
        <v>8</v>
      </c>
      <c r="J377">
        <v>4.5999999999999996</v>
      </c>
      <c r="K377">
        <v>184</v>
      </c>
      <c r="L377">
        <v>36.799999999999997</v>
      </c>
      <c r="M377">
        <v>3.05</v>
      </c>
      <c r="N377">
        <v>60.33</v>
      </c>
      <c r="O377">
        <v>0.16669999999999999</v>
      </c>
      <c r="P377" t="s">
        <v>22</v>
      </c>
      <c r="Q377" t="s">
        <v>52</v>
      </c>
    </row>
    <row r="378" spans="1:18" x14ac:dyDescent="0.25">
      <c r="A378" s="1">
        <v>46185</v>
      </c>
      <c r="B378" t="s">
        <v>53</v>
      </c>
      <c r="C378" t="s">
        <v>50</v>
      </c>
      <c r="D378" t="s">
        <v>19</v>
      </c>
      <c r="E378" t="s">
        <v>42</v>
      </c>
      <c r="F378" t="s">
        <v>41</v>
      </c>
      <c r="G378">
        <v>31</v>
      </c>
      <c r="H378">
        <v>25</v>
      </c>
      <c r="I378">
        <v>6</v>
      </c>
      <c r="J378">
        <v>4.8</v>
      </c>
      <c r="K378">
        <v>120</v>
      </c>
      <c r="L378">
        <v>28.8</v>
      </c>
      <c r="M378">
        <v>2.13</v>
      </c>
      <c r="N378">
        <v>56.34</v>
      </c>
      <c r="O378">
        <v>0.19350000000000001</v>
      </c>
      <c r="P378" t="s">
        <v>22</v>
      </c>
      <c r="Q378" t="s">
        <v>52</v>
      </c>
    </row>
    <row r="379" spans="1:18" x14ac:dyDescent="0.25">
      <c r="A379" s="1">
        <v>46185</v>
      </c>
      <c r="B379" t="s">
        <v>53</v>
      </c>
      <c r="C379" t="s">
        <v>50</v>
      </c>
      <c r="D379" t="s">
        <v>43</v>
      </c>
      <c r="E379" t="s">
        <v>20</v>
      </c>
      <c r="F379" t="s">
        <v>21</v>
      </c>
      <c r="G379">
        <v>62</v>
      </c>
      <c r="H379">
        <v>55</v>
      </c>
      <c r="I379">
        <v>7</v>
      </c>
      <c r="J379">
        <v>2.5</v>
      </c>
      <c r="K379">
        <v>137.5</v>
      </c>
      <c r="L379">
        <v>17.5</v>
      </c>
      <c r="M379">
        <v>2.92</v>
      </c>
      <c r="N379">
        <v>47.09</v>
      </c>
      <c r="O379">
        <v>0.1129</v>
      </c>
      <c r="P379" t="s">
        <v>22</v>
      </c>
      <c r="Q379" t="s">
        <v>52</v>
      </c>
    </row>
    <row r="380" spans="1:18" x14ac:dyDescent="0.25">
      <c r="A380" s="1">
        <v>46185</v>
      </c>
      <c r="B380" t="s">
        <v>53</v>
      </c>
      <c r="C380" t="s">
        <v>50</v>
      </c>
      <c r="D380" t="s">
        <v>43</v>
      </c>
      <c r="E380" t="s">
        <v>25</v>
      </c>
      <c r="F380" t="s">
        <v>21</v>
      </c>
      <c r="G380">
        <v>48</v>
      </c>
      <c r="H380">
        <v>46</v>
      </c>
      <c r="I380">
        <v>2</v>
      </c>
      <c r="J380">
        <v>2.8</v>
      </c>
      <c r="K380">
        <v>128.80000000000001</v>
      </c>
      <c r="L380">
        <v>5.6</v>
      </c>
      <c r="M380">
        <v>2.2999999999999998</v>
      </c>
      <c r="N380">
        <v>56</v>
      </c>
      <c r="O380">
        <v>4.1700000000000001E-2</v>
      </c>
      <c r="P380" t="s">
        <v>22</v>
      </c>
      <c r="Q380" t="s">
        <v>52</v>
      </c>
      <c r="R380" t="s">
        <v>47</v>
      </c>
    </row>
    <row r="381" spans="1:18" x14ac:dyDescent="0.25">
      <c r="A381" s="1">
        <v>46185</v>
      </c>
      <c r="B381" t="s">
        <v>53</v>
      </c>
      <c r="C381" t="s">
        <v>50</v>
      </c>
      <c r="D381" t="s">
        <v>43</v>
      </c>
      <c r="E381" t="s">
        <v>26</v>
      </c>
      <c r="F381" t="s">
        <v>21</v>
      </c>
      <c r="G381">
        <v>44</v>
      </c>
      <c r="H381">
        <v>34</v>
      </c>
      <c r="I381">
        <v>10</v>
      </c>
      <c r="J381">
        <v>3.1</v>
      </c>
      <c r="K381">
        <v>105.4</v>
      </c>
      <c r="L381">
        <v>31</v>
      </c>
      <c r="M381">
        <v>2.29</v>
      </c>
      <c r="N381">
        <v>46.03</v>
      </c>
      <c r="O381">
        <v>0.2273</v>
      </c>
      <c r="P381" t="s">
        <v>35</v>
      </c>
      <c r="Q381" t="s">
        <v>52</v>
      </c>
      <c r="R381" t="s">
        <v>24</v>
      </c>
    </row>
    <row r="382" spans="1:18" x14ac:dyDescent="0.25">
      <c r="A382" s="1">
        <v>46185</v>
      </c>
      <c r="B382" t="s">
        <v>53</v>
      </c>
      <c r="C382" t="s">
        <v>50</v>
      </c>
      <c r="D382" t="s">
        <v>43</v>
      </c>
      <c r="E382" t="s">
        <v>27</v>
      </c>
      <c r="F382" t="s">
        <v>28</v>
      </c>
      <c r="G382">
        <v>35</v>
      </c>
      <c r="H382">
        <v>27</v>
      </c>
      <c r="I382">
        <v>8</v>
      </c>
      <c r="J382">
        <v>4.2</v>
      </c>
      <c r="K382">
        <v>113.4</v>
      </c>
      <c r="L382">
        <v>33.6</v>
      </c>
      <c r="M382">
        <v>2.5299999999999998</v>
      </c>
      <c r="N382">
        <v>44.82</v>
      </c>
      <c r="O382">
        <v>0.2286</v>
      </c>
      <c r="P382" t="s">
        <v>22</v>
      </c>
      <c r="Q382" t="s">
        <v>52</v>
      </c>
    </row>
    <row r="383" spans="1:18" x14ac:dyDescent="0.25">
      <c r="A383" s="1">
        <v>46185</v>
      </c>
      <c r="B383" t="s">
        <v>53</v>
      </c>
      <c r="C383" t="s">
        <v>50</v>
      </c>
      <c r="D383" t="s">
        <v>43</v>
      </c>
      <c r="E383" t="s">
        <v>29</v>
      </c>
      <c r="F383" t="s">
        <v>28</v>
      </c>
      <c r="G383">
        <v>47</v>
      </c>
      <c r="H383">
        <v>36</v>
      </c>
      <c r="I383">
        <v>11</v>
      </c>
      <c r="J383">
        <v>2.2999999999999998</v>
      </c>
      <c r="K383">
        <v>82.8</v>
      </c>
      <c r="L383">
        <v>25.3</v>
      </c>
      <c r="M383">
        <v>3.44</v>
      </c>
      <c r="N383">
        <v>24.07</v>
      </c>
      <c r="O383">
        <v>0.23400000000000001</v>
      </c>
      <c r="P383" t="s">
        <v>22</v>
      </c>
      <c r="Q383" t="s">
        <v>52</v>
      </c>
      <c r="R383" t="s">
        <v>24</v>
      </c>
    </row>
    <row r="384" spans="1:18" x14ac:dyDescent="0.25">
      <c r="A384" s="1">
        <v>46185</v>
      </c>
      <c r="B384" t="s">
        <v>53</v>
      </c>
      <c r="C384" t="s">
        <v>50</v>
      </c>
      <c r="D384" t="s">
        <v>43</v>
      </c>
      <c r="E384" t="s">
        <v>30</v>
      </c>
      <c r="F384" t="s">
        <v>28</v>
      </c>
      <c r="G384">
        <v>23</v>
      </c>
      <c r="H384">
        <v>21</v>
      </c>
      <c r="I384">
        <v>2</v>
      </c>
      <c r="J384">
        <v>3.8</v>
      </c>
      <c r="K384">
        <v>79.8</v>
      </c>
      <c r="L384">
        <v>7.6</v>
      </c>
      <c r="M384">
        <v>1.92</v>
      </c>
      <c r="N384">
        <v>41.56</v>
      </c>
      <c r="O384">
        <v>8.6999999999999994E-2</v>
      </c>
      <c r="P384" t="s">
        <v>22</v>
      </c>
      <c r="Q384" t="s">
        <v>52</v>
      </c>
      <c r="R384" t="s">
        <v>47</v>
      </c>
    </row>
    <row r="385" spans="1:18" x14ac:dyDescent="0.25">
      <c r="A385" s="1">
        <v>46185</v>
      </c>
      <c r="B385" t="s">
        <v>53</v>
      </c>
      <c r="C385" t="s">
        <v>50</v>
      </c>
      <c r="D385" t="s">
        <v>43</v>
      </c>
      <c r="E385" t="s">
        <v>31</v>
      </c>
      <c r="F385" t="s">
        <v>32</v>
      </c>
      <c r="G385">
        <v>45</v>
      </c>
      <c r="H385">
        <v>36</v>
      </c>
      <c r="I385">
        <v>9</v>
      </c>
      <c r="J385">
        <v>2.9</v>
      </c>
      <c r="K385">
        <v>104.4</v>
      </c>
      <c r="L385">
        <v>26.1</v>
      </c>
      <c r="M385">
        <v>2.54</v>
      </c>
      <c r="N385">
        <v>41.1</v>
      </c>
      <c r="O385">
        <v>0.2</v>
      </c>
      <c r="P385" t="s">
        <v>22</v>
      </c>
      <c r="Q385" t="s">
        <v>52</v>
      </c>
    </row>
    <row r="386" spans="1:18" x14ac:dyDescent="0.25">
      <c r="A386" s="1">
        <v>46185</v>
      </c>
      <c r="B386" t="s">
        <v>53</v>
      </c>
      <c r="C386" t="s">
        <v>50</v>
      </c>
      <c r="D386" t="s">
        <v>43</v>
      </c>
      <c r="E386" t="s">
        <v>33</v>
      </c>
      <c r="F386" t="s">
        <v>32</v>
      </c>
      <c r="G386">
        <v>32</v>
      </c>
      <c r="H386">
        <v>27</v>
      </c>
      <c r="I386">
        <v>5</v>
      </c>
      <c r="J386">
        <v>3</v>
      </c>
      <c r="K386">
        <v>81</v>
      </c>
      <c r="L386">
        <v>15</v>
      </c>
      <c r="M386">
        <v>1.69</v>
      </c>
      <c r="N386">
        <v>47.93</v>
      </c>
      <c r="O386">
        <v>0.15620000000000001</v>
      </c>
      <c r="P386" t="s">
        <v>22</v>
      </c>
      <c r="Q386" t="s">
        <v>52</v>
      </c>
    </row>
    <row r="387" spans="1:18" x14ac:dyDescent="0.25">
      <c r="A387" s="1">
        <v>46185</v>
      </c>
      <c r="B387" t="s">
        <v>53</v>
      </c>
      <c r="C387" t="s">
        <v>50</v>
      </c>
      <c r="D387" t="s">
        <v>43</v>
      </c>
      <c r="E387" t="s">
        <v>34</v>
      </c>
      <c r="F387" t="s">
        <v>32</v>
      </c>
      <c r="G387">
        <v>25</v>
      </c>
      <c r="H387">
        <v>24</v>
      </c>
      <c r="I387">
        <v>1</v>
      </c>
      <c r="J387">
        <v>3.5</v>
      </c>
      <c r="K387">
        <v>84</v>
      </c>
      <c r="L387">
        <v>3.5</v>
      </c>
      <c r="M387">
        <v>1.41</v>
      </c>
      <c r="N387">
        <v>59.57</v>
      </c>
      <c r="O387">
        <v>0.04</v>
      </c>
      <c r="P387" t="s">
        <v>22</v>
      </c>
      <c r="Q387" t="s">
        <v>52</v>
      </c>
    </row>
    <row r="388" spans="1:18" x14ac:dyDescent="0.25">
      <c r="A388" s="1">
        <v>46185</v>
      </c>
      <c r="B388" t="s">
        <v>53</v>
      </c>
      <c r="C388" t="s">
        <v>50</v>
      </c>
      <c r="D388" t="s">
        <v>43</v>
      </c>
      <c r="E388" t="s">
        <v>37</v>
      </c>
      <c r="F388" t="s">
        <v>38</v>
      </c>
      <c r="G388">
        <v>102</v>
      </c>
      <c r="H388">
        <v>95</v>
      </c>
      <c r="I388">
        <v>7</v>
      </c>
      <c r="J388">
        <v>2.4</v>
      </c>
      <c r="K388">
        <v>228</v>
      </c>
      <c r="L388">
        <v>16.8</v>
      </c>
      <c r="M388">
        <v>1.91</v>
      </c>
      <c r="N388">
        <v>119.37</v>
      </c>
      <c r="O388">
        <v>6.8599999999999994E-2</v>
      </c>
      <c r="P388" t="s">
        <v>22</v>
      </c>
      <c r="Q388" t="s">
        <v>52</v>
      </c>
    </row>
    <row r="389" spans="1:18" x14ac:dyDescent="0.25">
      <c r="A389" s="1">
        <v>46185</v>
      </c>
      <c r="B389" t="s">
        <v>53</v>
      </c>
      <c r="C389" t="s">
        <v>50</v>
      </c>
      <c r="D389" t="s">
        <v>43</v>
      </c>
      <c r="E389" t="s">
        <v>39</v>
      </c>
      <c r="F389" t="s">
        <v>38</v>
      </c>
      <c r="G389">
        <v>56</v>
      </c>
      <c r="H389">
        <v>51</v>
      </c>
      <c r="I389">
        <v>5</v>
      </c>
      <c r="J389">
        <v>1.8</v>
      </c>
      <c r="K389">
        <v>91.8</v>
      </c>
      <c r="L389">
        <v>9</v>
      </c>
      <c r="M389">
        <v>1.22</v>
      </c>
      <c r="N389">
        <v>75.25</v>
      </c>
      <c r="O389">
        <v>8.9300000000000004E-2</v>
      </c>
      <c r="P389" t="s">
        <v>22</v>
      </c>
      <c r="Q389" t="s">
        <v>52</v>
      </c>
      <c r="R389" t="s">
        <v>47</v>
      </c>
    </row>
    <row r="390" spans="1:18" x14ac:dyDescent="0.25">
      <c r="A390" s="1">
        <v>46185</v>
      </c>
      <c r="B390" t="s">
        <v>53</v>
      </c>
      <c r="C390" t="s">
        <v>50</v>
      </c>
      <c r="D390" t="s">
        <v>43</v>
      </c>
      <c r="E390" t="s">
        <v>40</v>
      </c>
      <c r="F390" t="s">
        <v>41</v>
      </c>
      <c r="G390">
        <v>39</v>
      </c>
      <c r="H390">
        <v>28</v>
      </c>
      <c r="I390">
        <v>11</v>
      </c>
      <c r="J390">
        <v>4.5999999999999996</v>
      </c>
      <c r="K390">
        <v>128.80000000000001</v>
      </c>
      <c r="L390">
        <v>50.6</v>
      </c>
      <c r="M390">
        <v>2.68</v>
      </c>
      <c r="N390">
        <v>48.06</v>
      </c>
      <c r="O390">
        <v>0.28210000000000002</v>
      </c>
      <c r="P390" t="s">
        <v>22</v>
      </c>
      <c r="Q390" t="s">
        <v>52</v>
      </c>
      <c r="R390" t="s">
        <v>24</v>
      </c>
    </row>
    <row r="391" spans="1:18" x14ac:dyDescent="0.25">
      <c r="A391" s="1">
        <v>46185</v>
      </c>
      <c r="B391" t="s">
        <v>53</v>
      </c>
      <c r="C391" t="s">
        <v>50</v>
      </c>
      <c r="D391" t="s">
        <v>43</v>
      </c>
      <c r="E391" t="s">
        <v>42</v>
      </c>
      <c r="F391" t="s">
        <v>41</v>
      </c>
      <c r="G391">
        <v>25</v>
      </c>
      <c r="H391">
        <v>22</v>
      </c>
      <c r="I391">
        <v>3</v>
      </c>
      <c r="J391">
        <v>4.8</v>
      </c>
      <c r="K391">
        <v>105.6</v>
      </c>
      <c r="L391">
        <v>14.4</v>
      </c>
      <c r="M391">
        <v>1.65</v>
      </c>
      <c r="N391">
        <v>64</v>
      </c>
      <c r="O391">
        <v>0.12</v>
      </c>
      <c r="P391" t="s">
        <v>22</v>
      </c>
      <c r="Q391" t="s">
        <v>52</v>
      </c>
    </row>
    <row r="392" spans="1:18" x14ac:dyDescent="0.25">
      <c r="A392" s="1">
        <v>46188</v>
      </c>
      <c r="B392" t="s">
        <v>54</v>
      </c>
      <c r="C392" t="s">
        <v>18</v>
      </c>
      <c r="D392" t="s">
        <v>19</v>
      </c>
      <c r="E392" t="s">
        <v>20</v>
      </c>
      <c r="F392" t="s">
        <v>21</v>
      </c>
      <c r="G392">
        <v>55</v>
      </c>
      <c r="H392">
        <v>42</v>
      </c>
      <c r="I392">
        <v>13</v>
      </c>
      <c r="J392">
        <v>2.5</v>
      </c>
      <c r="K392">
        <v>105</v>
      </c>
      <c r="L392">
        <v>32.5</v>
      </c>
      <c r="M392">
        <v>2.81</v>
      </c>
      <c r="N392">
        <v>37.369999999999997</v>
      </c>
      <c r="O392">
        <v>0.2364</v>
      </c>
      <c r="P392" t="s">
        <v>22</v>
      </c>
      <c r="Q392" t="s">
        <v>49</v>
      </c>
      <c r="R392" t="s">
        <v>24</v>
      </c>
    </row>
    <row r="393" spans="1:18" x14ac:dyDescent="0.25">
      <c r="A393" s="1">
        <v>46188</v>
      </c>
      <c r="B393" t="s">
        <v>54</v>
      </c>
      <c r="C393" t="s">
        <v>18</v>
      </c>
      <c r="D393" t="s">
        <v>19</v>
      </c>
      <c r="E393" t="s">
        <v>25</v>
      </c>
      <c r="F393" t="s">
        <v>21</v>
      </c>
      <c r="G393">
        <v>44</v>
      </c>
      <c r="H393">
        <v>31</v>
      </c>
      <c r="I393">
        <v>13</v>
      </c>
      <c r="J393">
        <v>2.8</v>
      </c>
      <c r="K393">
        <v>86.8</v>
      </c>
      <c r="L393">
        <v>36.4</v>
      </c>
      <c r="M393">
        <v>2.0699999999999998</v>
      </c>
      <c r="N393">
        <v>41.93</v>
      </c>
      <c r="O393">
        <v>0.29549999999999998</v>
      </c>
      <c r="P393" t="s">
        <v>22</v>
      </c>
      <c r="Q393" t="s">
        <v>49</v>
      </c>
      <c r="R393" t="s">
        <v>24</v>
      </c>
    </row>
    <row r="394" spans="1:18" x14ac:dyDescent="0.25">
      <c r="A394" s="1">
        <v>46188</v>
      </c>
      <c r="B394" t="s">
        <v>54</v>
      </c>
      <c r="C394" t="s">
        <v>18</v>
      </c>
      <c r="D394" t="s">
        <v>19</v>
      </c>
      <c r="E394" t="s">
        <v>26</v>
      </c>
      <c r="F394" t="s">
        <v>21</v>
      </c>
      <c r="G394">
        <v>31</v>
      </c>
      <c r="H394">
        <v>27</v>
      </c>
      <c r="I394">
        <v>4</v>
      </c>
      <c r="J394">
        <v>3.1</v>
      </c>
      <c r="K394">
        <v>83.7</v>
      </c>
      <c r="L394">
        <v>12.4</v>
      </c>
      <c r="M394">
        <v>1.66</v>
      </c>
      <c r="N394">
        <v>50.42</v>
      </c>
      <c r="O394">
        <v>0.129</v>
      </c>
      <c r="P394" t="s">
        <v>22</v>
      </c>
      <c r="Q394" t="s">
        <v>49</v>
      </c>
    </row>
    <row r="395" spans="1:18" x14ac:dyDescent="0.25">
      <c r="A395" s="1">
        <v>46188</v>
      </c>
      <c r="B395" t="s">
        <v>54</v>
      </c>
      <c r="C395" t="s">
        <v>18</v>
      </c>
      <c r="D395" t="s">
        <v>19</v>
      </c>
      <c r="E395" t="s">
        <v>27</v>
      </c>
      <c r="F395" t="s">
        <v>28</v>
      </c>
      <c r="G395">
        <v>29</v>
      </c>
      <c r="H395">
        <v>25</v>
      </c>
      <c r="I395">
        <v>4</v>
      </c>
      <c r="J395">
        <v>4.2</v>
      </c>
      <c r="K395">
        <v>105</v>
      </c>
      <c r="L395">
        <v>16.8</v>
      </c>
      <c r="M395">
        <v>2.33</v>
      </c>
      <c r="N395">
        <v>45.06</v>
      </c>
      <c r="O395">
        <v>0.13789999999999999</v>
      </c>
      <c r="P395" t="s">
        <v>22</v>
      </c>
      <c r="Q395" t="s">
        <v>49</v>
      </c>
    </row>
    <row r="396" spans="1:18" x14ac:dyDescent="0.25">
      <c r="A396" s="1">
        <v>46188</v>
      </c>
      <c r="B396" t="s">
        <v>54</v>
      </c>
      <c r="C396" t="s">
        <v>18</v>
      </c>
      <c r="D396" t="s">
        <v>19</v>
      </c>
      <c r="E396" t="s">
        <v>29</v>
      </c>
      <c r="F396" t="s">
        <v>28</v>
      </c>
      <c r="G396">
        <v>38</v>
      </c>
      <c r="H396">
        <v>32</v>
      </c>
      <c r="I396">
        <v>6</v>
      </c>
      <c r="J396">
        <v>2.2999999999999998</v>
      </c>
      <c r="K396">
        <v>73.599999999999994</v>
      </c>
      <c r="L396">
        <v>13.8</v>
      </c>
      <c r="M396">
        <v>2.75</v>
      </c>
      <c r="N396">
        <v>26.76</v>
      </c>
      <c r="O396">
        <v>0.15790000000000001</v>
      </c>
      <c r="P396" t="s">
        <v>22</v>
      </c>
      <c r="Q396" t="s">
        <v>49</v>
      </c>
    </row>
    <row r="397" spans="1:18" x14ac:dyDescent="0.25">
      <c r="A397" s="1">
        <v>46188</v>
      </c>
      <c r="B397" t="s">
        <v>54</v>
      </c>
      <c r="C397" t="s">
        <v>18</v>
      </c>
      <c r="D397" t="s">
        <v>19</v>
      </c>
      <c r="E397" t="s">
        <v>30</v>
      </c>
      <c r="F397" t="s">
        <v>28</v>
      </c>
      <c r="G397">
        <v>20</v>
      </c>
      <c r="H397">
        <v>16</v>
      </c>
      <c r="I397">
        <v>4</v>
      </c>
      <c r="J397">
        <v>3.8</v>
      </c>
      <c r="K397">
        <v>60.8</v>
      </c>
      <c r="L397">
        <v>15.2</v>
      </c>
      <c r="M397">
        <v>1.5</v>
      </c>
      <c r="N397">
        <v>40.53</v>
      </c>
      <c r="O397">
        <v>0.2</v>
      </c>
      <c r="P397" t="s">
        <v>22</v>
      </c>
      <c r="Q397" t="s">
        <v>49</v>
      </c>
    </row>
    <row r="398" spans="1:18" x14ac:dyDescent="0.25">
      <c r="A398" s="1">
        <v>46188</v>
      </c>
      <c r="B398" t="s">
        <v>54</v>
      </c>
      <c r="C398" t="s">
        <v>18</v>
      </c>
      <c r="D398" t="s">
        <v>19</v>
      </c>
      <c r="E398" t="s">
        <v>31</v>
      </c>
      <c r="F398" t="s">
        <v>32</v>
      </c>
      <c r="G398">
        <v>37</v>
      </c>
      <c r="H398">
        <v>34</v>
      </c>
      <c r="I398">
        <v>3</v>
      </c>
      <c r="J398">
        <v>2.9</v>
      </c>
      <c r="K398">
        <v>98.6</v>
      </c>
      <c r="L398">
        <v>8.6999999999999993</v>
      </c>
      <c r="M398">
        <v>2.12</v>
      </c>
      <c r="N398">
        <v>46.51</v>
      </c>
      <c r="O398">
        <v>8.1100000000000005E-2</v>
      </c>
      <c r="P398" t="s">
        <v>35</v>
      </c>
      <c r="Q398" t="s">
        <v>49</v>
      </c>
      <c r="R398" t="s">
        <v>36</v>
      </c>
    </row>
    <row r="399" spans="1:18" x14ac:dyDescent="0.25">
      <c r="A399" s="1">
        <v>46188</v>
      </c>
      <c r="B399" t="s">
        <v>54</v>
      </c>
      <c r="C399" t="s">
        <v>18</v>
      </c>
      <c r="D399" t="s">
        <v>19</v>
      </c>
      <c r="E399" t="s">
        <v>33</v>
      </c>
      <c r="F399" t="s">
        <v>32</v>
      </c>
      <c r="G399">
        <v>31</v>
      </c>
      <c r="H399">
        <v>25</v>
      </c>
      <c r="I399">
        <v>6</v>
      </c>
      <c r="J399">
        <v>3</v>
      </c>
      <c r="K399">
        <v>75</v>
      </c>
      <c r="L399">
        <v>18</v>
      </c>
      <c r="M399">
        <v>1.85</v>
      </c>
      <c r="N399">
        <v>40.54</v>
      </c>
      <c r="O399">
        <v>0.19350000000000001</v>
      </c>
      <c r="P399" t="s">
        <v>22</v>
      </c>
      <c r="Q399" t="s">
        <v>49</v>
      </c>
    </row>
    <row r="400" spans="1:18" x14ac:dyDescent="0.25">
      <c r="A400" s="1">
        <v>46188</v>
      </c>
      <c r="B400" t="s">
        <v>54</v>
      </c>
      <c r="C400" t="s">
        <v>18</v>
      </c>
      <c r="D400" t="s">
        <v>19</v>
      </c>
      <c r="E400" t="s">
        <v>34</v>
      </c>
      <c r="F400" t="s">
        <v>32</v>
      </c>
      <c r="G400">
        <v>21</v>
      </c>
      <c r="H400">
        <v>20</v>
      </c>
      <c r="I400">
        <v>1</v>
      </c>
      <c r="J400">
        <v>3.5</v>
      </c>
      <c r="K400">
        <v>70</v>
      </c>
      <c r="L400">
        <v>3.5</v>
      </c>
      <c r="M400">
        <v>1.27</v>
      </c>
      <c r="N400">
        <v>55.12</v>
      </c>
      <c r="O400">
        <v>4.7600000000000003E-2</v>
      </c>
      <c r="P400" t="s">
        <v>22</v>
      </c>
      <c r="Q400" t="s">
        <v>49</v>
      </c>
    </row>
    <row r="401" spans="1:18" x14ac:dyDescent="0.25">
      <c r="A401" s="1">
        <v>46188</v>
      </c>
      <c r="B401" t="s">
        <v>54</v>
      </c>
      <c r="C401" t="s">
        <v>18</v>
      </c>
      <c r="D401" t="s">
        <v>19</v>
      </c>
      <c r="E401" t="s">
        <v>37</v>
      </c>
      <c r="F401" t="s">
        <v>38</v>
      </c>
      <c r="G401">
        <v>86</v>
      </c>
      <c r="H401">
        <v>77</v>
      </c>
      <c r="I401">
        <v>9</v>
      </c>
      <c r="J401">
        <v>2.4</v>
      </c>
      <c r="K401">
        <v>184.8</v>
      </c>
      <c r="L401">
        <v>21.6</v>
      </c>
      <c r="M401">
        <v>1.79</v>
      </c>
      <c r="N401">
        <v>103.24</v>
      </c>
      <c r="O401">
        <v>0.1047</v>
      </c>
      <c r="P401" t="s">
        <v>22</v>
      </c>
      <c r="Q401" t="s">
        <v>49</v>
      </c>
    </row>
    <row r="402" spans="1:18" x14ac:dyDescent="0.25">
      <c r="A402" s="1">
        <v>46188</v>
      </c>
      <c r="B402" t="s">
        <v>54</v>
      </c>
      <c r="C402" t="s">
        <v>18</v>
      </c>
      <c r="D402" t="s">
        <v>19</v>
      </c>
      <c r="E402" t="s">
        <v>39</v>
      </c>
      <c r="F402" t="s">
        <v>38</v>
      </c>
      <c r="G402">
        <v>44</v>
      </c>
      <c r="H402">
        <v>39</v>
      </c>
      <c r="I402">
        <v>5</v>
      </c>
      <c r="J402">
        <v>1.8</v>
      </c>
      <c r="K402">
        <v>70.2</v>
      </c>
      <c r="L402">
        <v>9</v>
      </c>
      <c r="M402">
        <v>1.1299999999999999</v>
      </c>
      <c r="N402">
        <v>62.12</v>
      </c>
      <c r="O402">
        <v>0.11360000000000001</v>
      </c>
      <c r="P402" t="s">
        <v>22</v>
      </c>
      <c r="Q402" t="s">
        <v>49</v>
      </c>
    </row>
    <row r="403" spans="1:18" x14ac:dyDescent="0.25">
      <c r="A403" s="1">
        <v>46188</v>
      </c>
      <c r="B403" t="s">
        <v>54</v>
      </c>
      <c r="C403" t="s">
        <v>18</v>
      </c>
      <c r="D403" t="s">
        <v>19</v>
      </c>
      <c r="E403" t="s">
        <v>40</v>
      </c>
      <c r="F403" t="s">
        <v>41</v>
      </c>
      <c r="G403">
        <v>33</v>
      </c>
      <c r="H403">
        <v>27</v>
      </c>
      <c r="I403">
        <v>6</v>
      </c>
      <c r="J403">
        <v>4.5999999999999996</v>
      </c>
      <c r="K403">
        <v>124.2</v>
      </c>
      <c r="L403">
        <v>27.6</v>
      </c>
      <c r="M403">
        <v>2.12</v>
      </c>
      <c r="N403">
        <v>58.58</v>
      </c>
      <c r="O403">
        <v>0.18179999999999999</v>
      </c>
      <c r="P403" t="s">
        <v>22</v>
      </c>
      <c r="Q403" t="s">
        <v>49</v>
      </c>
    </row>
    <row r="404" spans="1:18" x14ac:dyDescent="0.25">
      <c r="A404" s="1">
        <v>46188</v>
      </c>
      <c r="B404" t="s">
        <v>54</v>
      </c>
      <c r="C404" t="s">
        <v>18</v>
      </c>
      <c r="D404" t="s">
        <v>19</v>
      </c>
      <c r="E404" t="s">
        <v>42</v>
      </c>
      <c r="F404" t="s">
        <v>41</v>
      </c>
      <c r="G404">
        <v>20</v>
      </c>
      <c r="H404">
        <v>18</v>
      </c>
      <c r="I404">
        <v>2</v>
      </c>
      <c r="J404">
        <v>4.8</v>
      </c>
      <c r="K404">
        <v>86.4</v>
      </c>
      <c r="L404">
        <v>9.6</v>
      </c>
      <c r="M404">
        <v>1.4</v>
      </c>
      <c r="N404">
        <v>61.71</v>
      </c>
      <c r="O404">
        <v>0.1</v>
      </c>
      <c r="P404" t="s">
        <v>22</v>
      </c>
      <c r="Q404" t="s">
        <v>49</v>
      </c>
    </row>
    <row r="405" spans="1:18" x14ac:dyDescent="0.25">
      <c r="A405" s="1">
        <v>46188</v>
      </c>
      <c r="B405" t="s">
        <v>54</v>
      </c>
      <c r="C405" t="s">
        <v>18</v>
      </c>
      <c r="D405" t="s">
        <v>43</v>
      </c>
      <c r="E405" t="s">
        <v>20</v>
      </c>
      <c r="F405" t="s">
        <v>21</v>
      </c>
      <c r="G405">
        <v>43</v>
      </c>
      <c r="H405">
        <v>34</v>
      </c>
      <c r="I405">
        <v>9</v>
      </c>
      <c r="J405">
        <v>2.5</v>
      </c>
      <c r="K405">
        <v>85</v>
      </c>
      <c r="L405">
        <v>22.5</v>
      </c>
      <c r="M405">
        <v>2.2000000000000002</v>
      </c>
      <c r="N405">
        <v>38.64</v>
      </c>
      <c r="O405">
        <v>0.20930000000000001</v>
      </c>
      <c r="P405" t="s">
        <v>22</v>
      </c>
      <c r="Q405" t="s">
        <v>49</v>
      </c>
    </row>
    <row r="406" spans="1:18" x14ac:dyDescent="0.25">
      <c r="A406" s="1">
        <v>46188</v>
      </c>
      <c r="B406" t="s">
        <v>54</v>
      </c>
      <c r="C406" t="s">
        <v>18</v>
      </c>
      <c r="D406" t="s">
        <v>43</v>
      </c>
      <c r="E406" t="s">
        <v>25</v>
      </c>
      <c r="F406" t="s">
        <v>21</v>
      </c>
      <c r="G406">
        <v>34</v>
      </c>
      <c r="H406">
        <v>30</v>
      </c>
      <c r="I406">
        <v>4</v>
      </c>
      <c r="J406">
        <v>2.8</v>
      </c>
      <c r="K406">
        <v>84</v>
      </c>
      <c r="L406">
        <v>11.2</v>
      </c>
      <c r="M406">
        <v>1.62</v>
      </c>
      <c r="N406">
        <v>51.85</v>
      </c>
      <c r="O406">
        <v>0.1176</v>
      </c>
      <c r="P406" t="s">
        <v>22</v>
      </c>
      <c r="Q406" t="s">
        <v>49</v>
      </c>
    </row>
    <row r="407" spans="1:18" x14ac:dyDescent="0.25">
      <c r="A407" s="1">
        <v>46188</v>
      </c>
      <c r="B407" t="s">
        <v>54</v>
      </c>
      <c r="C407" t="s">
        <v>18</v>
      </c>
      <c r="D407" t="s">
        <v>43</v>
      </c>
      <c r="E407" t="s">
        <v>26</v>
      </c>
      <c r="F407" t="s">
        <v>21</v>
      </c>
      <c r="G407">
        <v>26</v>
      </c>
      <c r="H407">
        <v>21</v>
      </c>
      <c r="I407">
        <v>5</v>
      </c>
      <c r="J407">
        <v>3.1</v>
      </c>
      <c r="K407">
        <v>65.099999999999994</v>
      </c>
      <c r="L407">
        <v>15.5</v>
      </c>
      <c r="M407">
        <v>1.36</v>
      </c>
      <c r="N407">
        <v>47.87</v>
      </c>
      <c r="O407">
        <v>0.1923</v>
      </c>
      <c r="P407" t="s">
        <v>22</v>
      </c>
      <c r="Q407" t="s">
        <v>49</v>
      </c>
    </row>
    <row r="408" spans="1:18" x14ac:dyDescent="0.25">
      <c r="A408" s="1">
        <v>46188</v>
      </c>
      <c r="B408" t="s">
        <v>54</v>
      </c>
      <c r="C408" t="s">
        <v>18</v>
      </c>
      <c r="D408" t="s">
        <v>43</v>
      </c>
      <c r="E408" t="s">
        <v>27</v>
      </c>
      <c r="F408" t="s">
        <v>28</v>
      </c>
      <c r="G408">
        <v>20</v>
      </c>
      <c r="H408">
        <v>16</v>
      </c>
      <c r="I408">
        <v>4</v>
      </c>
      <c r="J408">
        <v>4.2</v>
      </c>
      <c r="K408">
        <v>67.2</v>
      </c>
      <c r="L408">
        <v>16.8</v>
      </c>
      <c r="M408">
        <v>1.54</v>
      </c>
      <c r="N408">
        <v>43.64</v>
      </c>
      <c r="O408">
        <v>0.2</v>
      </c>
      <c r="P408" t="s">
        <v>22</v>
      </c>
      <c r="Q408" t="s">
        <v>49</v>
      </c>
    </row>
    <row r="409" spans="1:18" x14ac:dyDescent="0.25">
      <c r="A409" s="1">
        <v>46188</v>
      </c>
      <c r="B409" t="s">
        <v>54</v>
      </c>
      <c r="C409" t="s">
        <v>18</v>
      </c>
      <c r="D409" t="s">
        <v>43</v>
      </c>
      <c r="E409" t="s">
        <v>29</v>
      </c>
      <c r="F409" t="s">
        <v>28</v>
      </c>
      <c r="G409">
        <v>30</v>
      </c>
      <c r="H409">
        <v>23</v>
      </c>
      <c r="I409">
        <v>7</v>
      </c>
      <c r="J409">
        <v>2.2999999999999998</v>
      </c>
      <c r="K409">
        <v>52.9</v>
      </c>
      <c r="L409">
        <v>16.100000000000001</v>
      </c>
      <c r="M409">
        <v>2.41</v>
      </c>
      <c r="N409">
        <v>21.95</v>
      </c>
      <c r="O409">
        <v>0.23330000000000001</v>
      </c>
      <c r="P409" t="s">
        <v>22</v>
      </c>
      <c r="Q409" t="s">
        <v>49</v>
      </c>
    </row>
    <row r="410" spans="1:18" x14ac:dyDescent="0.25">
      <c r="A410" s="1">
        <v>46188</v>
      </c>
      <c r="B410" t="s">
        <v>54</v>
      </c>
      <c r="C410" t="s">
        <v>18</v>
      </c>
      <c r="D410" t="s">
        <v>43</v>
      </c>
      <c r="E410" t="s">
        <v>30</v>
      </c>
      <c r="F410" t="s">
        <v>28</v>
      </c>
      <c r="G410">
        <v>15</v>
      </c>
      <c r="H410">
        <v>13</v>
      </c>
      <c r="I410">
        <v>2</v>
      </c>
      <c r="J410">
        <v>3.8</v>
      </c>
      <c r="K410">
        <v>49.4</v>
      </c>
      <c r="L410">
        <v>7.6</v>
      </c>
      <c r="M410">
        <v>1.19</v>
      </c>
      <c r="N410">
        <v>41.51</v>
      </c>
      <c r="O410">
        <v>0.1333</v>
      </c>
      <c r="P410" t="s">
        <v>22</v>
      </c>
      <c r="Q410" t="s">
        <v>49</v>
      </c>
    </row>
    <row r="411" spans="1:18" x14ac:dyDescent="0.25">
      <c r="A411" s="1">
        <v>46188</v>
      </c>
      <c r="B411" t="s">
        <v>54</v>
      </c>
      <c r="C411" t="s">
        <v>18</v>
      </c>
      <c r="D411" t="s">
        <v>43</v>
      </c>
      <c r="E411" t="s">
        <v>31</v>
      </c>
      <c r="F411" t="s">
        <v>32</v>
      </c>
      <c r="G411">
        <v>27</v>
      </c>
      <c r="H411">
        <v>23</v>
      </c>
      <c r="I411">
        <v>4</v>
      </c>
      <c r="J411">
        <v>2.9</v>
      </c>
      <c r="K411">
        <v>66.7</v>
      </c>
      <c r="L411">
        <v>11.6</v>
      </c>
      <c r="M411">
        <v>1.55</v>
      </c>
      <c r="N411">
        <v>43.03</v>
      </c>
      <c r="O411">
        <v>0.14810000000000001</v>
      </c>
      <c r="P411" t="s">
        <v>22</v>
      </c>
      <c r="Q411" t="s">
        <v>49</v>
      </c>
    </row>
    <row r="412" spans="1:18" x14ac:dyDescent="0.25">
      <c r="A412" s="1">
        <v>46188</v>
      </c>
      <c r="B412" t="s">
        <v>54</v>
      </c>
      <c r="C412" t="s">
        <v>18</v>
      </c>
      <c r="D412" t="s">
        <v>43</v>
      </c>
      <c r="E412" t="s">
        <v>33</v>
      </c>
      <c r="F412" t="s">
        <v>32</v>
      </c>
      <c r="G412">
        <v>21</v>
      </c>
      <c r="H412">
        <v>21</v>
      </c>
      <c r="I412">
        <v>0</v>
      </c>
      <c r="J412">
        <v>3</v>
      </c>
      <c r="K412">
        <v>63</v>
      </c>
      <c r="L412">
        <v>0</v>
      </c>
      <c r="M412">
        <v>1.25</v>
      </c>
      <c r="N412">
        <v>50.4</v>
      </c>
      <c r="O412">
        <v>0</v>
      </c>
      <c r="P412" t="s">
        <v>22</v>
      </c>
      <c r="Q412" t="s">
        <v>49</v>
      </c>
    </row>
    <row r="413" spans="1:18" x14ac:dyDescent="0.25">
      <c r="A413" s="1">
        <v>46188</v>
      </c>
      <c r="B413" t="s">
        <v>54</v>
      </c>
      <c r="C413" t="s">
        <v>18</v>
      </c>
      <c r="D413" t="s">
        <v>43</v>
      </c>
      <c r="E413" t="s">
        <v>34</v>
      </c>
      <c r="F413" t="s">
        <v>32</v>
      </c>
      <c r="G413">
        <v>19</v>
      </c>
      <c r="H413">
        <v>17</v>
      </c>
      <c r="I413">
        <v>2</v>
      </c>
      <c r="J413">
        <v>3.5</v>
      </c>
      <c r="K413">
        <v>59.5</v>
      </c>
      <c r="L413">
        <v>7</v>
      </c>
      <c r="M413">
        <v>1.02</v>
      </c>
      <c r="N413">
        <v>58.33</v>
      </c>
      <c r="O413">
        <v>0.1053</v>
      </c>
      <c r="P413" t="s">
        <v>35</v>
      </c>
      <c r="Q413" t="s">
        <v>49</v>
      </c>
      <c r="R413" t="s">
        <v>36</v>
      </c>
    </row>
    <row r="414" spans="1:18" x14ac:dyDescent="0.25">
      <c r="A414" s="1">
        <v>46188</v>
      </c>
      <c r="B414" t="s">
        <v>54</v>
      </c>
      <c r="C414" t="s">
        <v>18</v>
      </c>
      <c r="D414" t="s">
        <v>43</v>
      </c>
      <c r="E414" t="s">
        <v>37</v>
      </c>
      <c r="F414" t="s">
        <v>38</v>
      </c>
      <c r="G414">
        <v>70</v>
      </c>
      <c r="H414">
        <v>64</v>
      </c>
      <c r="I414">
        <v>6</v>
      </c>
      <c r="J414">
        <v>2.4</v>
      </c>
      <c r="K414">
        <v>153.6</v>
      </c>
      <c r="L414">
        <v>14.4</v>
      </c>
      <c r="M414">
        <v>1.45</v>
      </c>
      <c r="N414">
        <v>105.93</v>
      </c>
      <c r="O414">
        <v>8.5699999999999998E-2</v>
      </c>
      <c r="P414" t="s">
        <v>22</v>
      </c>
      <c r="Q414" t="s">
        <v>49</v>
      </c>
    </row>
    <row r="415" spans="1:18" x14ac:dyDescent="0.25">
      <c r="A415" s="1">
        <v>46188</v>
      </c>
      <c r="B415" t="s">
        <v>54</v>
      </c>
      <c r="C415" t="s">
        <v>18</v>
      </c>
      <c r="D415" t="s">
        <v>43</v>
      </c>
      <c r="E415" t="s">
        <v>39</v>
      </c>
      <c r="F415" t="s">
        <v>38</v>
      </c>
      <c r="G415">
        <v>36</v>
      </c>
      <c r="H415">
        <v>32</v>
      </c>
      <c r="I415">
        <v>4</v>
      </c>
      <c r="J415">
        <v>1.8</v>
      </c>
      <c r="K415">
        <v>57.6</v>
      </c>
      <c r="L415">
        <v>7.2</v>
      </c>
      <c r="M415">
        <v>0.96</v>
      </c>
      <c r="N415">
        <v>60</v>
      </c>
      <c r="O415">
        <v>0.1111</v>
      </c>
      <c r="P415" t="s">
        <v>22</v>
      </c>
      <c r="Q415" t="s">
        <v>49</v>
      </c>
    </row>
    <row r="416" spans="1:18" x14ac:dyDescent="0.25">
      <c r="A416" s="1">
        <v>46188</v>
      </c>
      <c r="B416" t="s">
        <v>54</v>
      </c>
      <c r="C416" t="s">
        <v>18</v>
      </c>
      <c r="D416" t="s">
        <v>43</v>
      </c>
      <c r="E416" t="s">
        <v>40</v>
      </c>
      <c r="F416" t="s">
        <v>41</v>
      </c>
      <c r="G416">
        <v>26</v>
      </c>
      <c r="H416">
        <v>20</v>
      </c>
      <c r="I416">
        <v>6</v>
      </c>
      <c r="J416">
        <v>4.5999999999999996</v>
      </c>
      <c r="K416">
        <v>92</v>
      </c>
      <c r="L416">
        <v>27.6</v>
      </c>
      <c r="M416">
        <v>1.73</v>
      </c>
      <c r="N416">
        <v>53.18</v>
      </c>
      <c r="O416">
        <v>0.23080000000000001</v>
      </c>
      <c r="P416" t="s">
        <v>22</v>
      </c>
      <c r="Q416" t="s">
        <v>49</v>
      </c>
    </row>
    <row r="417" spans="1:18" x14ac:dyDescent="0.25">
      <c r="A417" s="1">
        <v>46188</v>
      </c>
      <c r="B417" t="s">
        <v>54</v>
      </c>
      <c r="C417" t="s">
        <v>18</v>
      </c>
      <c r="D417" t="s">
        <v>43</v>
      </c>
      <c r="E417" t="s">
        <v>42</v>
      </c>
      <c r="F417" t="s">
        <v>41</v>
      </c>
      <c r="G417">
        <v>16</v>
      </c>
      <c r="H417">
        <v>14</v>
      </c>
      <c r="I417">
        <v>2</v>
      </c>
      <c r="J417">
        <v>4.8</v>
      </c>
      <c r="K417">
        <v>67.2</v>
      </c>
      <c r="L417">
        <v>9.6</v>
      </c>
      <c r="M417">
        <v>1.03</v>
      </c>
      <c r="N417">
        <v>65.239999999999995</v>
      </c>
      <c r="O417">
        <v>0.125</v>
      </c>
      <c r="P417" t="s">
        <v>22</v>
      </c>
      <c r="Q417" t="s">
        <v>49</v>
      </c>
    </row>
    <row r="418" spans="1:18" x14ac:dyDescent="0.25">
      <c r="A418" s="1">
        <v>46189</v>
      </c>
      <c r="B418" t="s">
        <v>54</v>
      </c>
      <c r="C418" t="s">
        <v>44</v>
      </c>
      <c r="D418" t="s">
        <v>19</v>
      </c>
      <c r="E418" t="s">
        <v>20</v>
      </c>
      <c r="F418" t="s">
        <v>21</v>
      </c>
      <c r="G418">
        <v>61</v>
      </c>
      <c r="H418">
        <v>60</v>
      </c>
      <c r="I418">
        <v>1</v>
      </c>
      <c r="J418">
        <v>2.5</v>
      </c>
      <c r="K418">
        <v>150</v>
      </c>
      <c r="L418">
        <v>2.5</v>
      </c>
      <c r="M418">
        <v>3</v>
      </c>
      <c r="N418">
        <v>50</v>
      </c>
      <c r="O418">
        <v>1.6400000000000001E-2</v>
      </c>
      <c r="P418" t="s">
        <v>22</v>
      </c>
      <c r="Q418" t="s">
        <v>23</v>
      </c>
    </row>
    <row r="419" spans="1:18" x14ac:dyDescent="0.25">
      <c r="A419" s="1">
        <v>46189</v>
      </c>
      <c r="B419" t="s">
        <v>54</v>
      </c>
      <c r="C419" t="s">
        <v>44</v>
      </c>
      <c r="D419" t="s">
        <v>19</v>
      </c>
      <c r="E419" t="s">
        <v>25</v>
      </c>
      <c r="F419" t="s">
        <v>21</v>
      </c>
      <c r="G419">
        <v>53</v>
      </c>
      <c r="H419">
        <v>40</v>
      </c>
      <c r="I419">
        <v>13</v>
      </c>
      <c r="J419">
        <v>2.8</v>
      </c>
      <c r="K419">
        <v>112</v>
      </c>
      <c r="L419">
        <v>36.4</v>
      </c>
      <c r="M419">
        <v>2.67</v>
      </c>
      <c r="N419">
        <v>41.95</v>
      </c>
      <c r="O419">
        <v>0.24529999999999999</v>
      </c>
      <c r="P419" t="s">
        <v>22</v>
      </c>
      <c r="Q419" t="s">
        <v>23</v>
      </c>
      <c r="R419" t="s">
        <v>24</v>
      </c>
    </row>
    <row r="420" spans="1:18" x14ac:dyDescent="0.25">
      <c r="A420" s="1">
        <v>46189</v>
      </c>
      <c r="B420" t="s">
        <v>54</v>
      </c>
      <c r="C420" t="s">
        <v>44</v>
      </c>
      <c r="D420" t="s">
        <v>19</v>
      </c>
      <c r="E420" t="s">
        <v>26</v>
      </c>
      <c r="F420" t="s">
        <v>21</v>
      </c>
      <c r="G420">
        <v>42</v>
      </c>
      <c r="H420">
        <v>35</v>
      </c>
      <c r="I420">
        <v>7</v>
      </c>
      <c r="J420">
        <v>3.1</v>
      </c>
      <c r="K420">
        <v>108.5</v>
      </c>
      <c r="L420">
        <v>21.7</v>
      </c>
      <c r="M420">
        <v>2</v>
      </c>
      <c r="N420">
        <v>54.25</v>
      </c>
      <c r="O420">
        <v>0.16669999999999999</v>
      </c>
      <c r="P420" t="s">
        <v>22</v>
      </c>
      <c r="Q420" t="s">
        <v>23</v>
      </c>
    </row>
    <row r="421" spans="1:18" x14ac:dyDescent="0.25">
      <c r="A421" s="1">
        <v>46189</v>
      </c>
      <c r="B421" t="s">
        <v>54</v>
      </c>
      <c r="C421" t="s">
        <v>44</v>
      </c>
      <c r="D421" t="s">
        <v>19</v>
      </c>
      <c r="E421" t="s">
        <v>27</v>
      </c>
      <c r="F421" t="s">
        <v>28</v>
      </c>
      <c r="G421">
        <v>32</v>
      </c>
      <c r="H421">
        <v>25</v>
      </c>
      <c r="I421">
        <v>7</v>
      </c>
      <c r="J421">
        <v>4.2</v>
      </c>
      <c r="K421">
        <v>105</v>
      </c>
      <c r="L421">
        <v>29.4</v>
      </c>
      <c r="M421">
        <v>2.33</v>
      </c>
      <c r="N421">
        <v>45.06</v>
      </c>
      <c r="O421">
        <v>0.21879999999999999</v>
      </c>
      <c r="P421" t="s">
        <v>22</v>
      </c>
      <c r="Q421" t="s">
        <v>23</v>
      </c>
    </row>
    <row r="422" spans="1:18" x14ac:dyDescent="0.25">
      <c r="A422" s="1">
        <v>46189</v>
      </c>
      <c r="B422" t="s">
        <v>54</v>
      </c>
      <c r="C422" t="s">
        <v>44</v>
      </c>
      <c r="D422" t="s">
        <v>19</v>
      </c>
      <c r="E422" t="s">
        <v>29</v>
      </c>
      <c r="F422" t="s">
        <v>28</v>
      </c>
      <c r="G422">
        <v>44</v>
      </c>
      <c r="H422">
        <v>37</v>
      </c>
      <c r="I422">
        <v>7</v>
      </c>
      <c r="J422">
        <v>2.2999999999999998</v>
      </c>
      <c r="K422">
        <v>85.1</v>
      </c>
      <c r="L422">
        <v>16.100000000000001</v>
      </c>
      <c r="M422">
        <v>3.31</v>
      </c>
      <c r="N422">
        <v>25.71</v>
      </c>
      <c r="O422">
        <v>0.15909999999999999</v>
      </c>
      <c r="P422" t="s">
        <v>22</v>
      </c>
      <c r="Q422" t="s">
        <v>23</v>
      </c>
    </row>
    <row r="423" spans="1:18" x14ac:dyDescent="0.25">
      <c r="A423" s="1">
        <v>46189</v>
      </c>
      <c r="B423" t="s">
        <v>54</v>
      </c>
      <c r="C423" t="s">
        <v>44</v>
      </c>
      <c r="D423" t="s">
        <v>19</v>
      </c>
      <c r="E423" t="s">
        <v>30</v>
      </c>
      <c r="F423" t="s">
        <v>28</v>
      </c>
      <c r="G423">
        <v>22</v>
      </c>
      <c r="H423">
        <v>20</v>
      </c>
      <c r="I423">
        <v>2</v>
      </c>
      <c r="J423">
        <v>3.8</v>
      </c>
      <c r="K423">
        <v>76</v>
      </c>
      <c r="L423">
        <v>7.6</v>
      </c>
      <c r="M423">
        <v>1.64</v>
      </c>
      <c r="N423">
        <v>46.34</v>
      </c>
      <c r="O423">
        <v>9.0899999999999995E-2</v>
      </c>
      <c r="P423" t="s">
        <v>22</v>
      </c>
      <c r="Q423" t="s">
        <v>23</v>
      </c>
    </row>
    <row r="424" spans="1:18" x14ac:dyDescent="0.25">
      <c r="A424" s="1">
        <v>46189</v>
      </c>
      <c r="B424" t="s">
        <v>54</v>
      </c>
      <c r="C424" t="s">
        <v>44</v>
      </c>
      <c r="D424" t="s">
        <v>19</v>
      </c>
      <c r="E424" t="s">
        <v>31</v>
      </c>
      <c r="F424" t="s">
        <v>32</v>
      </c>
      <c r="G424">
        <v>49</v>
      </c>
      <c r="H424">
        <v>38</v>
      </c>
      <c r="I424">
        <v>11</v>
      </c>
      <c r="J424">
        <v>2.9</v>
      </c>
      <c r="K424">
        <v>110.2</v>
      </c>
      <c r="L424">
        <v>31.9</v>
      </c>
      <c r="M424">
        <v>2.6</v>
      </c>
      <c r="N424">
        <v>42.38</v>
      </c>
      <c r="O424">
        <v>0.22450000000000001</v>
      </c>
      <c r="P424" t="s">
        <v>35</v>
      </c>
      <c r="Q424" t="s">
        <v>23</v>
      </c>
      <c r="R424" t="s">
        <v>24</v>
      </c>
    </row>
    <row r="425" spans="1:18" x14ac:dyDescent="0.25">
      <c r="A425" s="1">
        <v>46189</v>
      </c>
      <c r="B425" t="s">
        <v>54</v>
      </c>
      <c r="C425" t="s">
        <v>44</v>
      </c>
      <c r="D425" t="s">
        <v>19</v>
      </c>
      <c r="E425" t="s">
        <v>33</v>
      </c>
      <c r="F425" t="s">
        <v>32</v>
      </c>
      <c r="G425">
        <v>35</v>
      </c>
      <c r="H425">
        <v>31</v>
      </c>
      <c r="I425">
        <v>4</v>
      </c>
      <c r="J425">
        <v>3</v>
      </c>
      <c r="K425">
        <v>93</v>
      </c>
      <c r="L425">
        <v>12</v>
      </c>
      <c r="M425">
        <v>1.89</v>
      </c>
      <c r="N425">
        <v>49.21</v>
      </c>
      <c r="O425">
        <v>0.1143</v>
      </c>
      <c r="P425" t="s">
        <v>22</v>
      </c>
      <c r="Q425" t="s">
        <v>23</v>
      </c>
    </row>
    <row r="426" spans="1:18" x14ac:dyDescent="0.25">
      <c r="A426" s="1">
        <v>46189</v>
      </c>
      <c r="B426" t="s">
        <v>54</v>
      </c>
      <c r="C426" t="s">
        <v>44</v>
      </c>
      <c r="D426" t="s">
        <v>19</v>
      </c>
      <c r="E426" t="s">
        <v>34</v>
      </c>
      <c r="F426" t="s">
        <v>32</v>
      </c>
      <c r="G426">
        <v>27</v>
      </c>
      <c r="H426">
        <v>24</v>
      </c>
      <c r="I426">
        <v>3</v>
      </c>
      <c r="J426">
        <v>3.5</v>
      </c>
      <c r="K426">
        <v>84</v>
      </c>
      <c r="L426">
        <v>10.5</v>
      </c>
      <c r="M426">
        <v>1.69</v>
      </c>
      <c r="N426">
        <v>49.7</v>
      </c>
      <c r="O426">
        <v>0.1111</v>
      </c>
      <c r="P426" t="s">
        <v>22</v>
      </c>
      <c r="Q426" t="s">
        <v>23</v>
      </c>
    </row>
    <row r="427" spans="1:18" x14ac:dyDescent="0.25">
      <c r="A427" s="1">
        <v>46189</v>
      </c>
      <c r="B427" t="s">
        <v>54</v>
      </c>
      <c r="C427" t="s">
        <v>44</v>
      </c>
      <c r="D427" t="s">
        <v>19</v>
      </c>
      <c r="E427" t="s">
        <v>37</v>
      </c>
      <c r="F427" t="s">
        <v>38</v>
      </c>
      <c r="G427">
        <v>106</v>
      </c>
      <c r="H427">
        <v>98</v>
      </c>
      <c r="I427">
        <v>8</v>
      </c>
      <c r="J427">
        <v>2.4</v>
      </c>
      <c r="K427">
        <v>235.2</v>
      </c>
      <c r="L427">
        <v>19.2</v>
      </c>
      <c r="M427">
        <v>2.16</v>
      </c>
      <c r="N427">
        <v>108.89</v>
      </c>
      <c r="O427">
        <v>7.5499999999999998E-2</v>
      </c>
      <c r="P427" t="s">
        <v>22</v>
      </c>
      <c r="Q427" t="s">
        <v>23</v>
      </c>
    </row>
    <row r="428" spans="1:18" x14ac:dyDescent="0.25">
      <c r="A428" s="1">
        <v>46189</v>
      </c>
      <c r="B428" t="s">
        <v>54</v>
      </c>
      <c r="C428" t="s">
        <v>44</v>
      </c>
      <c r="D428" t="s">
        <v>19</v>
      </c>
      <c r="E428" t="s">
        <v>39</v>
      </c>
      <c r="F428" t="s">
        <v>38</v>
      </c>
      <c r="G428">
        <v>55</v>
      </c>
      <c r="H428">
        <v>54</v>
      </c>
      <c r="I428">
        <v>1</v>
      </c>
      <c r="J428">
        <v>1.8</v>
      </c>
      <c r="K428">
        <v>97.2</v>
      </c>
      <c r="L428">
        <v>1.8</v>
      </c>
      <c r="M428">
        <v>1.27</v>
      </c>
      <c r="N428">
        <v>76.540000000000006</v>
      </c>
      <c r="O428">
        <v>1.8200000000000001E-2</v>
      </c>
      <c r="P428" t="s">
        <v>22</v>
      </c>
      <c r="Q428" t="s">
        <v>23</v>
      </c>
    </row>
    <row r="429" spans="1:18" x14ac:dyDescent="0.25">
      <c r="A429" s="1">
        <v>46189</v>
      </c>
      <c r="B429" t="s">
        <v>54</v>
      </c>
      <c r="C429" t="s">
        <v>44</v>
      </c>
      <c r="D429" t="s">
        <v>19</v>
      </c>
      <c r="E429" t="s">
        <v>40</v>
      </c>
      <c r="F429" t="s">
        <v>41</v>
      </c>
      <c r="G429">
        <v>37</v>
      </c>
      <c r="H429">
        <v>33</v>
      </c>
      <c r="I429">
        <v>4</v>
      </c>
      <c r="J429">
        <v>4.5999999999999996</v>
      </c>
      <c r="K429">
        <v>151.80000000000001</v>
      </c>
      <c r="L429">
        <v>18.399999999999999</v>
      </c>
      <c r="M429">
        <v>2.4500000000000002</v>
      </c>
      <c r="N429">
        <v>61.96</v>
      </c>
      <c r="O429">
        <v>0.1081</v>
      </c>
      <c r="P429" t="s">
        <v>22</v>
      </c>
      <c r="Q429" t="s">
        <v>23</v>
      </c>
    </row>
    <row r="430" spans="1:18" x14ac:dyDescent="0.25">
      <c r="A430" s="1">
        <v>46189</v>
      </c>
      <c r="B430" t="s">
        <v>54</v>
      </c>
      <c r="C430" t="s">
        <v>44</v>
      </c>
      <c r="D430" t="s">
        <v>19</v>
      </c>
      <c r="E430" t="s">
        <v>42</v>
      </c>
      <c r="F430" t="s">
        <v>41</v>
      </c>
      <c r="G430">
        <v>26</v>
      </c>
      <c r="H430">
        <v>22</v>
      </c>
      <c r="I430">
        <v>4</v>
      </c>
      <c r="J430">
        <v>4.8</v>
      </c>
      <c r="K430">
        <v>105.6</v>
      </c>
      <c r="L430">
        <v>19.2</v>
      </c>
      <c r="M430">
        <v>1.86</v>
      </c>
      <c r="N430">
        <v>56.77</v>
      </c>
      <c r="O430">
        <v>0.15379999999999999</v>
      </c>
      <c r="P430" t="s">
        <v>22</v>
      </c>
      <c r="Q430" t="s">
        <v>23</v>
      </c>
    </row>
    <row r="431" spans="1:18" x14ac:dyDescent="0.25">
      <c r="A431" s="1">
        <v>46189</v>
      </c>
      <c r="B431" t="s">
        <v>54</v>
      </c>
      <c r="C431" t="s">
        <v>44</v>
      </c>
      <c r="D431" t="s">
        <v>43</v>
      </c>
      <c r="E431" t="s">
        <v>20</v>
      </c>
      <c r="F431" t="s">
        <v>21</v>
      </c>
      <c r="G431">
        <v>52</v>
      </c>
      <c r="H431">
        <v>38</v>
      </c>
      <c r="I431">
        <v>14</v>
      </c>
      <c r="J431">
        <v>2.5</v>
      </c>
      <c r="K431">
        <v>95</v>
      </c>
      <c r="L431">
        <v>35</v>
      </c>
      <c r="M431">
        <v>2.67</v>
      </c>
      <c r="N431">
        <v>35.58</v>
      </c>
      <c r="O431">
        <v>0.26919999999999999</v>
      </c>
      <c r="P431" t="s">
        <v>22</v>
      </c>
      <c r="Q431" t="s">
        <v>23</v>
      </c>
      <c r="R431" t="s">
        <v>24</v>
      </c>
    </row>
    <row r="432" spans="1:18" x14ac:dyDescent="0.25">
      <c r="A432" s="1">
        <v>46189</v>
      </c>
      <c r="B432" t="s">
        <v>54</v>
      </c>
      <c r="C432" t="s">
        <v>44</v>
      </c>
      <c r="D432" t="s">
        <v>43</v>
      </c>
      <c r="E432" t="s">
        <v>25</v>
      </c>
      <c r="F432" t="s">
        <v>21</v>
      </c>
      <c r="G432">
        <v>35</v>
      </c>
      <c r="H432">
        <v>31</v>
      </c>
      <c r="I432">
        <v>4</v>
      </c>
      <c r="J432">
        <v>2.8</v>
      </c>
      <c r="K432">
        <v>86.8</v>
      </c>
      <c r="L432">
        <v>11.2</v>
      </c>
      <c r="M432">
        <v>1.67</v>
      </c>
      <c r="N432">
        <v>51.98</v>
      </c>
      <c r="O432">
        <v>0.1143</v>
      </c>
      <c r="P432" t="s">
        <v>22</v>
      </c>
      <c r="Q432" t="s">
        <v>23</v>
      </c>
    </row>
    <row r="433" spans="1:18" x14ac:dyDescent="0.25">
      <c r="A433" s="1">
        <v>46189</v>
      </c>
      <c r="B433" t="s">
        <v>54</v>
      </c>
      <c r="C433" t="s">
        <v>44</v>
      </c>
      <c r="D433" t="s">
        <v>43</v>
      </c>
      <c r="E433" t="s">
        <v>26</v>
      </c>
      <c r="F433" t="s">
        <v>21</v>
      </c>
      <c r="G433">
        <v>30</v>
      </c>
      <c r="H433">
        <v>28</v>
      </c>
      <c r="I433">
        <v>2</v>
      </c>
      <c r="J433">
        <v>3.1</v>
      </c>
      <c r="K433">
        <v>86.8</v>
      </c>
      <c r="L433">
        <v>6.2</v>
      </c>
      <c r="M433">
        <v>1.68</v>
      </c>
      <c r="N433">
        <v>51.67</v>
      </c>
      <c r="O433">
        <v>6.6699999999999995E-2</v>
      </c>
      <c r="P433" t="s">
        <v>22</v>
      </c>
      <c r="Q433" t="s">
        <v>23</v>
      </c>
    </row>
    <row r="434" spans="1:18" x14ac:dyDescent="0.25">
      <c r="A434" s="1">
        <v>46189</v>
      </c>
      <c r="B434" t="s">
        <v>54</v>
      </c>
      <c r="C434" t="s">
        <v>44</v>
      </c>
      <c r="D434" t="s">
        <v>43</v>
      </c>
      <c r="E434" t="s">
        <v>27</v>
      </c>
      <c r="F434" t="s">
        <v>28</v>
      </c>
      <c r="G434">
        <v>30</v>
      </c>
      <c r="H434">
        <v>22</v>
      </c>
      <c r="I434">
        <v>8</v>
      </c>
      <c r="J434">
        <v>4.2</v>
      </c>
      <c r="K434">
        <v>92.4</v>
      </c>
      <c r="L434">
        <v>33.6</v>
      </c>
      <c r="M434">
        <v>2.19</v>
      </c>
      <c r="N434">
        <v>42.19</v>
      </c>
      <c r="O434">
        <v>0.26669999999999999</v>
      </c>
      <c r="P434" t="s">
        <v>35</v>
      </c>
      <c r="Q434" t="s">
        <v>23</v>
      </c>
      <c r="R434" t="s">
        <v>36</v>
      </c>
    </row>
    <row r="435" spans="1:18" x14ac:dyDescent="0.25">
      <c r="A435" s="1">
        <v>46189</v>
      </c>
      <c r="B435" t="s">
        <v>54</v>
      </c>
      <c r="C435" t="s">
        <v>44</v>
      </c>
      <c r="D435" t="s">
        <v>43</v>
      </c>
      <c r="E435" t="s">
        <v>29</v>
      </c>
      <c r="F435" t="s">
        <v>28</v>
      </c>
      <c r="G435">
        <v>33</v>
      </c>
      <c r="H435">
        <v>30</v>
      </c>
      <c r="I435">
        <v>3</v>
      </c>
      <c r="J435">
        <v>2.2999999999999998</v>
      </c>
      <c r="K435">
        <v>69</v>
      </c>
      <c r="L435">
        <v>6.9</v>
      </c>
      <c r="M435">
        <v>2.52</v>
      </c>
      <c r="N435">
        <v>27.38</v>
      </c>
      <c r="O435">
        <v>9.0899999999999995E-2</v>
      </c>
      <c r="P435" t="s">
        <v>22</v>
      </c>
      <c r="Q435" t="s">
        <v>23</v>
      </c>
    </row>
    <row r="436" spans="1:18" x14ac:dyDescent="0.25">
      <c r="A436" s="1">
        <v>46189</v>
      </c>
      <c r="B436" t="s">
        <v>54</v>
      </c>
      <c r="C436" t="s">
        <v>44</v>
      </c>
      <c r="D436" t="s">
        <v>43</v>
      </c>
      <c r="E436" t="s">
        <v>30</v>
      </c>
      <c r="F436" t="s">
        <v>28</v>
      </c>
      <c r="G436">
        <v>17</v>
      </c>
      <c r="H436">
        <v>17</v>
      </c>
      <c r="I436">
        <v>0</v>
      </c>
      <c r="J436">
        <v>3.8</v>
      </c>
      <c r="K436">
        <v>64.599999999999994</v>
      </c>
      <c r="L436">
        <v>0</v>
      </c>
      <c r="M436">
        <v>1.34</v>
      </c>
      <c r="N436">
        <v>48.21</v>
      </c>
      <c r="O436">
        <v>0</v>
      </c>
      <c r="P436" t="s">
        <v>22</v>
      </c>
      <c r="Q436" t="s">
        <v>23</v>
      </c>
    </row>
    <row r="437" spans="1:18" x14ac:dyDescent="0.25">
      <c r="A437" s="1">
        <v>46189</v>
      </c>
      <c r="B437" t="s">
        <v>54</v>
      </c>
      <c r="C437" t="s">
        <v>44</v>
      </c>
      <c r="D437" t="s">
        <v>43</v>
      </c>
      <c r="E437" t="s">
        <v>31</v>
      </c>
      <c r="F437" t="s">
        <v>32</v>
      </c>
      <c r="G437">
        <v>34</v>
      </c>
      <c r="H437">
        <v>29</v>
      </c>
      <c r="I437">
        <v>5</v>
      </c>
      <c r="J437">
        <v>2.9</v>
      </c>
      <c r="K437">
        <v>84.1</v>
      </c>
      <c r="L437">
        <v>14.5</v>
      </c>
      <c r="M437">
        <v>1.94</v>
      </c>
      <c r="N437">
        <v>43.35</v>
      </c>
      <c r="O437">
        <v>0.14710000000000001</v>
      </c>
      <c r="P437" t="s">
        <v>22</v>
      </c>
      <c r="Q437" t="s">
        <v>23</v>
      </c>
    </row>
    <row r="438" spans="1:18" x14ac:dyDescent="0.25">
      <c r="A438" s="1">
        <v>46189</v>
      </c>
      <c r="B438" t="s">
        <v>54</v>
      </c>
      <c r="C438" t="s">
        <v>44</v>
      </c>
      <c r="D438" t="s">
        <v>43</v>
      </c>
      <c r="E438" t="s">
        <v>33</v>
      </c>
      <c r="F438" t="s">
        <v>32</v>
      </c>
      <c r="G438">
        <v>28</v>
      </c>
      <c r="H438">
        <v>21</v>
      </c>
      <c r="I438">
        <v>7</v>
      </c>
      <c r="J438">
        <v>3</v>
      </c>
      <c r="K438">
        <v>63</v>
      </c>
      <c r="L438">
        <v>21</v>
      </c>
      <c r="M438">
        <v>1.52</v>
      </c>
      <c r="N438">
        <v>41.45</v>
      </c>
      <c r="O438">
        <v>0.25</v>
      </c>
      <c r="P438" t="s">
        <v>22</v>
      </c>
      <c r="Q438" t="s">
        <v>23</v>
      </c>
    </row>
    <row r="439" spans="1:18" x14ac:dyDescent="0.25">
      <c r="A439" s="1">
        <v>46189</v>
      </c>
      <c r="B439" t="s">
        <v>54</v>
      </c>
      <c r="C439" t="s">
        <v>44</v>
      </c>
      <c r="D439" t="s">
        <v>43</v>
      </c>
      <c r="E439" t="s">
        <v>34</v>
      </c>
      <c r="F439" t="s">
        <v>32</v>
      </c>
      <c r="G439">
        <v>21</v>
      </c>
      <c r="H439">
        <v>20</v>
      </c>
      <c r="I439">
        <v>1</v>
      </c>
      <c r="J439">
        <v>3.5</v>
      </c>
      <c r="K439">
        <v>70</v>
      </c>
      <c r="L439">
        <v>3.5</v>
      </c>
      <c r="M439">
        <v>1.19</v>
      </c>
      <c r="N439">
        <v>58.82</v>
      </c>
      <c r="O439">
        <v>4.7600000000000003E-2</v>
      </c>
      <c r="P439" t="s">
        <v>22</v>
      </c>
      <c r="Q439" t="s">
        <v>23</v>
      </c>
    </row>
    <row r="440" spans="1:18" x14ac:dyDescent="0.25">
      <c r="A440" s="1">
        <v>46189</v>
      </c>
      <c r="B440" t="s">
        <v>54</v>
      </c>
      <c r="C440" t="s">
        <v>44</v>
      </c>
      <c r="D440" t="s">
        <v>43</v>
      </c>
      <c r="E440" t="s">
        <v>37</v>
      </c>
      <c r="F440" t="s">
        <v>38</v>
      </c>
      <c r="G440">
        <v>79</v>
      </c>
      <c r="H440">
        <v>76</v>
      </c>
      <c r="I440">
        <v>3</v>
      </c>
      <c r="J440">
        <v>2.4</v>
      </c>
      <c r="K440">
        <v>182.4</v>
      </c>
      <c r="L440">
        <v>7.2</v>
      </c>
      <c r="M440">
        <v>1.57</v>
      </c>
      <c r="N440">
        <v>116.18</v>
      </c>
      <c r="O440">
        <v>3.7999999999999999E-2</v>
      </c>
      <c r="P440" t="s">
        <v>22</v>
      </c>
      <c r="Q440" t="s">
        <v>23</v>
      </c>
    </row>
    <row r="441" spans="1:18" x14ac:dyDescent="0.25">
      <c r="A441" s="1">
        <v>46189</v>
      </c>
      <c r="B441" t="s">
        <v>54</v>
      </c>
      <c r="C441" t="s">
        <v>44</v>
      </c>
      <c r="D441" t="s">
        <v>43</v>
      </c>
      <c r="E441" t="s">
        <v>39</v>
      </c>
      <c r="F441" t="s">
        <v>38</v>
      </c>
      <c r="G441">
        <v>45</v>
      </c>
      <c r="H441">
        <v>41</v>
      </c>
      <c r="I441">
        <v>4</v>
      </c>
      <c r="J441">
        <v>1.8</v>
      </c>
      <c r="K441">
        <v>73.8</v>
      </c>
      <c r="L441">
        <v>7.2</v>
      </c>
      <c r="M441">
        <v>0.94</v>
      </c>
      <c r="N441">
        <v>78.510000000000005</v>
      </c>
      <c r="O441">
        <v>8.8900000000000007E-2</v>
      </c>
      <c r="P441" t="s">
        <v>22</v>
      </c>
      <c r="Q441" t="s">
        <v>23</v>
      </c>
    </row>
    <row r="442" spans="1:18" x14ac:dyDescent="0.25">
      <c r="A442" s="1">
        <v>46189</v>
      </c>
      <c r="B442" t="s">
        <v>54</v>
      </c>
      <c r="C442" t="s">
        <v>44</v>
      </c>
      <c r="D442" t="s">
        <v>43</v>
      </c>
      <c r="E442" t="s">
        <v>40</v>
      </c>
      <c r="F442" t="s">
        <v>41</v>
      </c>
      <c r="G442">
        <v>30</v>
      </c>
      <c r="H442">
        <v>24</v>
      </c>
      <c r="I442">
        <v>6</v>
      </c>
      <c r="J442">
        <v>4.5999999999999996</v>
      </c>
      <c r="K442">
        <v>110.4</v>
      </c>
      <c r="L442">
        <v>27.6</v>
      </c>
      <c r="M442">
        <v>2.14</v>
      </c>
      <c r="N442">
        <v>51.59</v>
      </c>
      <c r="O442">
        <v>0.2</v>
      </c>
      <c r="P442" t="s">
        <v>22</v>
      </c>
      <c r="Q442" t="s">
        <v>23</v>
      </c>
    </row>
    <row r="443" spans="1:18" x14ac:dyDescent="0.25">
      <c r="A443" s="1">
        <v>46189</v>
      </c>
      <c r="B443" t="s">
        <v>54</v>
      </c>
      <c r="C443" t="s">
        <v>44</v>
      </c>
      <c r="D443" t="s">
        <v>43</v>
      </c>
      <c r="E443" t="s">
        <v>42</v>
      </c>
      <c r="F443" t="s">
        <v>41</v>
      </c>
      <c r="G443">
        <v>22</v>
      </c>
      <c r="H443">
        <v>18</v>
      </c>
      <c r="I443">
        <v>4</v>
      </c>
      <c r="J443">
        <v>4.8</v>
      </c>
      <c r="K443">
        <v>86.4</v>
      </c>
      <c r="L443">
        <v>19.2</v>
      </c>
      <c r="M443">
        <v>1.46</v>
      </c>
      <c r="N443">
        <v>59.18</v>
      </c>
      <c r="O443">
        <v>0.18179999999999999</v>
      </c>
      <c r="P443" t="s">
        <v>22</v>
      </c>
      <c r="Q443" t="s">
        <v>23</v>
      </c>
    </row>
    <row r="444" spans="1:18" x14ac:dyDescent="0.25">
      <c r="A444" s="1">
        <v>46190</v>
      </c>
      <c r="B444" t="s">
        <v>54</v>
      </c>
      <c r="C444" t="s">
        <v>45</v>
      </c>
      <c r="D444" t="s">
        <v>19</v>
      </c>
      <c r="E444" t="s">
        <v>20</v>
      </c>
      <c r="F444" t="s">
        <v>21</v>
      </c>
      <c r="G444">
        <v>71</v>
      </c>
      <c r="H444">
        <v>61</v>
      </c>
      <c r="I444">
        <v>10</v>
      </c>
      <c r="J444">
        <v>2.5</v>
      </c>
      <c r="K444">
        <v>152.5</v>
      </c>
      <c r="L444">
        <v>25</v>
      </c>
      <c r="M444">
        <v>3.32</v>
      </c>
      <c r="N444">
        <v>45.93</v>
      </c>
      <c r="O444">
        <v>0.14080000000000001</v>
      </c>
      <c r="P444" t="s">
        <v>22</v>
      </c>
      <c r="Q444" t="s">
        <v>46</v>
      </c>
      <c r="R444" t="s">
        <v>24</v>
      </c>
    </row>
    <row r="445" spans="1:18" x14ac:dyDescent="0.25">
      <c r="A445" s="1">
        <v>46190</v>
      </c>
      <c r="B445" t="s">
        <v>54</v>
      </c>
      <c r="C445" t="s">
        <v>45</v>
      </c>
      <c r="D445" t="s">
        <v>19</v>
      </c>
      <c r="E445" t="s">
        <v>25</v>
      </c>
      <c r="F445" t="s">
        <v>21</v>
      </c>
      <c r="G445">
        <v>53</v>
      </c>
      <c r="H445">
        <v>48</v>
      </c>
      <c r="I445">
        <v>5</v>
      </c>
      <c r="J445">
        <v>2.8</v>
      </c>
      <c r="K445">
        <v>134.4</v>
      </c>
      <c r="L445">
        <v>14</v>
      </c>
      <c r="M445">
        <v>2.71</v>
      </c>
      <c r="N445">
        <v>49.59</v>
      </c>
      <c r="O445">
        <v>9.4299999999999995E-2</v>
      </c>
      <c r="P445" t="s">
        <v>22</v>
      </c>
      <c r="Q445" t="s">
        <v>46</v>
      </c>
    </row>
    <row r="446" spans="1:18" x14ac:dyDescent="0.25">
      <c r="A446" s="1">
        <v>46190</v>
      </c>
      <c r="B446" t="s">
        <v>54</v>
      </c>
      <c r="C446" t="s">
        <v>45</v>
      </c>
      <c r="D446" t="s">
        <v>19</v>
      </c>
      <c r="E446" t="s">
        <v>26</v>
      </c>
      <c r="F446" t="s">
        <v>21</v>
      </c>
      <c r="G446">
        <v>42</v>
      </c>
      <c r="H446">
        <v>39</v>
      </c>
      <c r="I446">
        <v>3</v>
      </c>
      <c r="J446">
        <v>3.1</v>
      </c>
      <c r="K446">
        <v>120.9</v>
      </c>
      <c r="L446">
        <v>9.3000000000000007</v>
      </c>
      <c r="M446">
        <v>2.12</v>
      </c>
      <c r="N446">
        <v>57.03</v>
      </c>
      <c r="O446">
        <v>7.1400000000000005E-2</v>
      </c>
      <c r="P446" t="s">
        <v>22</v>
      </c>
      <c r="Q446" t="s">
        <v>46</v>
      </c>
    </row>
    <row r="447" spans="1:18" x14ac:dyDescent="0.25">
      <c r="A447" s="1">
        <v>46190</v>
      </c>
      <c r="B447" t="s">
        <v>54</v>
      </c>
      <c r="C447" t="s">
        <v>45</v>
      </c>
      <c r="D447" t="s">
        <v>19</v>
      </c>
      <c r="E447" t="s">
        <v>27</v>
      </c>
      <c r="F447" t="s">
        <v>28</v>
      </c>
      <c r="G447">
        <v>38</v>
      </c>
      <c r="H447">
        <v>32</v>
      </c>
      <c r="I447">
        <v>6</v>
      </c>
      <c r="J447">
        <v>4.2</v>
      </c>
      <c r="K447">
        <v>134.4</v>
      </c>
      <c r="L447">
        <v>25.2</v>
      </c>
      <c r="M447">
        <v>2.9</v>
      </c>
      <c r="N447">
        <v>46.34</v>
      </c>
      <c r="O447">
        <v>0.15790000000000001</v>
      </c>
      <c r="P447" t="s">
        <v>22</v>
      </c>
      <c r="Q447" t="s">
        <v>46</v>
      </c>
    </row>
    <row r="448" spans="1:18" x14ac:dyDescent="0.25">
      <c r="A448" s="1">
        <v>46190</v>
      </c>
      <c r="B448" t="s">
        <v>54</v>
      </c>
      <c r="C448" t="s">
        <v>45</v>
      </c>
      <c r="D448" t="s">
        <v>19</v>
      </c>
      <c r="E448" t="s">
        <v>29</v>
      </c>
      <c r="F448" t="s">
        <v>28</v>
      </c>
      <c r="G448">
        <v>50</v>
      </c>
      <c r="H448">
        <v>45</v>
      </c>
      <c r="I448">
        <v>5</v>
      </c>
      <c r="J448">
        <v>2.2999999999999998</v>
      </c>
      <c r="K448">
        <v>103.5</v>
      </c>
      <c r="L448">
        <v>11.5</v>
      </c>
      <c r="M448">
        <v>3.58</v>
      </c>
      <c r="N448">
        <v>28.91</v>
      </c>
      <c r="O448">
        <v>0.1</v>
      </c>
      <c r="P448" t="s">
        <v>22</v>
      </c>
      <c r="Q448" t="s">
        <v>46</v>
      </c>
    </row>
    <row r="449" spans="1:18" x14ac:dyDescent="0.25">
      <c r="A449" s="1">
        <v>46190</v>
      </c>
      <c r="B449" t="s">
        <v>54</v>
      </c>
      <c r="C449" t="s">
        <v>45</v>
      </c>
      <c r="D449" t="s">
        <v>19</v>
      </c>
      <c r="E449" t="s">
        <v>30</v>
      </c>
      <c r="F449" t="s">
        <v>28</v>
      </c>
      <c r="G449">
        <v>24</v>
      </c>
      <c r="H449">
        <v>23</v>
      </c>
      <c r="I449">
        <v>1</v>
      </c>
      <c r="J449">
        <v>3.8</v>
      </c>
      <c r="K449">
        <v>87.4</v>
      </c>
      <c r="L449">
        <v>3.8</v>
      </c>
      <c r="M449">
        <v>2.0099999999999998</v>
      </c>
      <c r="N449">
        <v>43.48</v>
      </c>
      <c r="O449">
        <v>4.1700000000000001E-2</v>
      </c>
      <c r="P449" t="s">
        <v>22</v>
      </c>
      <c r="Q449" t="s">
        <v>46</v>
      </c>
    </row>
    <row r="450" spans="1:18" x14ac:dyDescent="0.25">
      <c r="A450" s="1">
        <v>46190</v>
      </c>
      <c r="B450" t="s">
        <v>54</v>
      </c>
      <c r="C450" t="s">
        <v>45</v>
      </c>
      <c r="D450" t="s">
        <v>19</v>
      </c>
      <c r="E450" t="s">
        <v>31</v>
      </c>
      <c r="F450" t="s">
        <v>32</v>
      </c>
      <c r="G450">
        <v>52</v>
      </c>
      <c r="H450">
        <v>44</v>
      </c>
      <c r="I450">
        <v>8</v>
      </c>
      <c r="J450">
        <v>2.9</v>
      </c>
      <c r="K450">
        <v>127.6</v>
      </c>
      <c r="L450">
        <v>23.2</v>
      </c>
      <c r="M450">
        <v>2.79</v>
      </c>
      <c r="N450">
        <v>45.73</v>
      </c>
      <c r="O450">
        <v>0.15379999999999999</v>
      </c>
      <c r="P450" t="s">
        <v>22</v>
      </c>
      <c r="Q450" t="s">
        <v>46</v>
      </c>
    </row>
    <row r="451" spans="1:18" x14ac:dyDescent="0.25">
      <c r="A451" s="1">
        <v>46190</v>
      </c>
      <c r="B451" t="s">
        <v>54</v>
      </c>
      <c r="C451" t="s">
        <v>45</v>
      </c>
      <c r="D451" t="s">
        <v>19</v>
      </c>
      <c r="E451" t="s">
        <v>33</v>
      </c>
      <c r="F451" t="s">
        <v>32</v>
      </c>
      <c r="G451">
        <v>43</v>
      </c>
      <c r="H451">
        <v>32</v>
      </c>
      <c r="I451">
        <v>11</v>
      </c>
      <c r="J451">
        <v>3</v>
      </c>
      <c r="K451">
        <v>96</v>
      </c>
      <c r="L451">
        <v>33</v>
      </c>
      <c r="M451">
        <v>2.39</v>
      </c>
      <c r="N451">
        <v>40.17</v>
      </c>
      <c r="O451">
        <v>0.25580000000000003</v>
      </c>
      <c r="P451" t="s">
        <v>22</v>
      </c>
      <c r="Q451" t="s">
        <v>46</v>
      </c>
      <c r="R451" t="s">
        <v>24</v>
      </c>
    </row>
    <row r="452" spans="1:18" x14ac:dyDescent="0.25">
      <c r="A452" s="1">
        <v>46190</v>
      </c>
      <c r="B452" t="s">
        <v>54</v>
      </c>
      <c r="C452" t="s">
        <v>45</v>
      </c>
      <c r="D452" t="s">
        <v>19</v>
      </c>
      <c r="E452" t="s">
        <v>34</v>
      </c>
      <c r="F452" t="s">
        <v>32</v>
      </c>
      <c r="G452">
        <v>33</v>
      </c>
      <c r="H452">
        <v>31</v>
      </c>
      <c r="I452">
        <v>2</v>
      </c>
      <c r="J452">
        <v>3.5</v>
      </c>
      <c r="K452">
        <v>108.5</v>
      </c>
      <c r="L452">
        <v>7</v>
      </c>
      <c r="M452">
        <v>1.86</v>
      </c>
      <c r="N452">
        <v>58.33</v>
      </c>
      <c r="O452">
        <v>6.0600000000000001E-2</v>
      </c>
      <c r="P452" t="s">
        <v>35</v>
      </c>
      <c r="Q452" t="s">
        <v>46</v>
      </c>
      <c r="R452" t="s">
        <v>47</v>
      </c>
    </row>
    <row r="453" spans="1:18" x14ac:dyDescent="0.25">
      <c r="A453" s="1">
        <v>46190</v>
      </c>
      <c r="B453" t="s">
        <v>54</v>
      </c>
      <c r="C453" t="s">
        <v>45</v>
      </c>
      <c r="D453" t="s">
        <v>19</v>
      </c>
      <c r="E453" t="s">
        <v>37</v>
      </c>
      <c r="F453" t="s">
        <v>38</v>
      </c>
      <c r="G453">
        <v>126</v>
      </c>
      <c r="H453">
        <v>117</v>
      </c>
      <c r="I453">
        <v>9</v>
      </c>
      <c r="J453">
        <v>2.4</v>
      </c>
      <c r="K453">
        <v>280.8</v>
      </c>
      <c r="L453">
        <v>21.6</v>
      </c>
      <c r="M453">
        <v>2.37</v>
      </c>
      <c r="N453">
        <v>118.48</v>
      </c>
      <c r="O453">
        <v>7.1400000000000005E-2</v>
      </c>
      <c r="P453" t="s">
        <v>22</v>
      </c>
      <c r="Q453" t="s">
        <v>46</v>
      </c>
    </row>
    <row r="454" spans="1:18" x14ac:dyDescent="0.25">
      <c r="A454" s="1">
        <v>46190</v>
      </c>
      <c r="B454" t="s">
        <v>54</v>
      </c>
      <c r="C454" t="s">
        <v>45</v>
      </c>
      <c r="D454" t="s">
        <v>19</v>
      </c>
      <c r="E454" t="s">
        <v>39</v>
      </c>
      <c r="F454" t="s">
        <v>38</v>
      </c>
      <c r="G454">
        <v>69</v>
      </c>
      <c r="H454">
        <v>69</v>
      </c>
      <c r="I454">
        <v>0</v>
      </c>
      <c r="J454">
        <v>1.8</v>
      </c>
      <c r="K454">
        <v>124.2</v>
      </c>
      <c r="L454">
        <v>0</v>
      </c>
      <c r="M454">
        <v>1.59</v>
      </c>
      <c r="N454">
        <v>78.11</v>
      </c>
      <c r="O454">
        <v>0</v>
      </c>
      <c r="P454" t="s">
        <v>35</v>
      </c>
      <c r="Q454" t="s">
        <v>46</v>
      </c>
      <c r="R454" t="s">
        <v>47</v>
      </c>
    </row>
    <row r="455" spans="1:18" x14ac:dyDescent="0.25">
      <c r="A455" s="1">
        <v>46190</v>
      </c>
      <c r="B455" t="s">
        <v>54</v>
      </c>
      <c r="C455" t="s">
        <v>45</v>
      </c>
      <c r="D455" t="s">
        <v>19</v>
      </c>
      <c r="E455" t="s">
        <v>40</v>
      </c>
      <c r="F455" t="s">
        <v>41</v>
      </c>
      <c r="G455">
        <v>43</v>
      </c>
      <c r="H455">
        <v>40</v>
      </c>
      <c r="I455">
        <v>3</v>
      </c>
      <c r="J455">
        <v>4.5999999999999996</v>
      </c>
      <c r="K455">
        <v>184</v>
      </c>
      <c r="L455">
        <v>13.8</v>
      </c>
      <c r="M455">
        <v>2.92</v>
      </c>
      <c r="N455">
        <v>63.01</v>
      </c>
      <c r="O455">
        <v>6.9800000000000001E-2</v>
      </c>
      <c r="P455" t="s">
        <v>22</v>
      </c>
      <c r="Q455" t="s">
        <v>46</v>
      </c>
    </row>
    <row r="456" spans="1:18" x14ac:dyDescent="0.25">
      <c r="A456" s="1">
        <v>46190</v>
      </c>
      <c r="B456" t="s">
        <v>54</v>
      </c>
      <c r="C456" t="s">
        <v>45</v>
      </c>
      <c r="D456" t="s">
        <v>19</v>
      </c>
      <c r="E456" t="s">
        <v>42</v>
      </c>
      <c r="F456" t="s">
        <v>41</v>
      </c>
      <c r="G456">
        <v>35</v>
      </c>
      <c r="H456">
        <v>25</v>
      </c>
      <c r="I456">
        <v>10</v>
      </c>
      <c r="J456">
        <v>4.8</v>
      </c>
      <c r="K456">
        <v>120</v>
      </c>
      <c r="L456">
        <v>48</v>
      </c>
      <c r="M456">
        <v>2.3199999999999998</v>
      </c>
      <c r="N456">
        <v>51.72</v>
      </c>
      <c r="O456">
        <v>0.28570000000000001</v>
      </c>
      <c r="P456" t="s">
        <v>35</v>
      </c>
      <c r="Q456" t="s">
        <v>46</v>
      </c>
      <c r="R456" t="s">
        <v>24</v>
      </c>
    </row>
    <row r="457" spans="1:18" x14ac:dyDescent="0.25">
      <c r="A457" s="1">
        <v>46190</v>
      </c>
      <c r="B457" t="s">
        <v>54</v>
      </c>
      <c r="C457" t="s">
        <v>45</v>
      </c>
      <c r="D457" t="s">
        <v>43</v>
      </c>
      <c r="E457" t="s">
        <v>20</v>
      </c>
      <c r="F457" t="s">
        <v>21</v>
      </c>
      <c r="G457">
        <v>63</v>
      </c>
      <c r="H457">
        <v>46</v>
      </c>
      <c r="I457">
        <v>17</v>
      </c>
      <c r="J457">
        <v>2.5</v>
      </c>
      <c r="K457">
        <v>115</v>
      </c>
      <c r="L457">
        <v>42.5</v>
      </c>
      <c r="M457">
        <v>3.18</v>
      </c>
      <c r="N457">
        <v>36.159999999999997</v>
      </c>
      <c r="O457">
        <v>0.26979999999999998</v>
      </c>
      <c r="P457" t="s">
        <v>22</v>
      </c>
      <c r="Q457" t="s">
        <v>46</v>
      </c>
      <c r="R457" t="s">
        <v>24</v>
      </c>
    </row>
    <row r="458" spans="1:18" x14ac:dyDescent="0.25">
      <c r="A458" s="1">
        <v>46190</v>
      </c>
      <c r="B458" t="s">
        <v>54</v>
      </c>
      <c r="C458" t="s">
        <v>45</v>
      </c>
      <c r="D458" t="s">
        <v>43</v>
      </c>
      <c r="E458" t="s">
        <v>25</v>
      </c>
      <c r="F458" t="s">
        <v>21</v>
      </c>
      <c r="G458">
        <v>44</v>
      </c>
      <c r="H458">
        <v>41</v>
      </c>
      <c r="I458">
        <v>3</v>
      </c>
      <c r="J458">
        <v>2.8</v>
      </c>
      <c r="K458">
        <v>114.8</v>
      </c>
      <c r="L458">
        <v>8.4</v>
      </c>
      <c r="M458">
        <v>2.29</v>
      </c>
      <c r="N458">
        <v>50.13</v>
      </c>
      <c r="O458">
        <v>6.8199999999999997E-2</v>
      </c>
      <c r="P458" t="s">
        <v>22</v>
      </c>
      <c r="Q458" t="s">
        <v>46</v>
      </c>
    </row>
    <row r="459" spans="1:18" x14ac:dyDescent="0.25">
      <c r="A459" s="1">
        <v>46190</v>
      </c>
      <c r="B459" t="s">
        <v>54</v>
      </c>
      <c r="C459" t="s">
        <v>45</v>
      </c>
      <c r="D459" t="s">
        <v>43</v>
      </c>
      <c r="E459" t="s">
        <v>26</v>
      </c>
      <c r="F459" t="s">
        <v>21</v>
      </c>
      <c r="G459">
        <v>34</v>
      </c>
      <c r="H459">
        <v>27</v>
      </c>
      <c r="I459">
        <v>7</v>
      </c>
      <c r="J459">
        <v>3.1</v>
      </c>
      <c r="K459">
        <v>83.7</v>
      </c>
      <c r="L459">
        <v>21.7</v>
      </c>
      <c r="M459">
        <v>1.63</v>
      </c>
      <c r="N459">
        <v>51.35</v>
      </c>
      <c r="O459">
        <v>0.2059</v>
      </c>
      <c r="P459" t="s">
        <v>22</v>
      </c>
      <c r="Q459" t="s">
        <v>46</v>
      </c>
    </row>
    <row r="460" spans="1:18" x14ac:dyDescent="0.25">
      <c r="A460" s="1">
        <v>46190</v>
      </c>
      <c r="B460" t="s">
        <v>54</v>
      </c>
      <c r="C460" t="s">
        <v>45</v>
      </c>
      <c r="D460" t="s">
        <v>43</v>
      </c>
      <c r="E460" t="s">
        <v>27</v>
      </c>
      <c r="F460" t="s">
        <v>28</v>
      </c>
      <c r="G460">
        <v>28</v>
      </c>
      <c r="H460">
        <v>23</v>
      </c>
      <c r="I460">
        <v>5</v>
      </c>
      <c r="J460">
        <v>4.2</v>
      </c>
      <c r="K460">
        <v>96.6</v>
      </c>
      <c r="L460">
        <v>21</v>
      </c>
      <c r="M460">
        <v>2.23</v>
      </c>
      <c r="N460">
        <v>43.32</v>
      </c>
      <c r="O460">
        <v>0.17860000000000001</v>
      </c>
      <c r="P460" t="s">
        <v>22</v>
      </c>
      <c r="Q460" t="s">
        <v>46</v>
      </c>
    </row>
    <row r="461" spans="1:18" x14ac:dyDescent="0.25">
      <c r="A461" s="1">
        <v>46190</v>
      </c>
      <c r="B461" t="s">
        <v>54</v>
      </c>
      <c r="C461" t="s">
        <v>45</v>
      </c>
      <c r="D461" t="s">
        <v>43</v>
      </c>
      <c r="E461" t="s">
        <v>29</v>
      </c>
      <c r="F461" t="s">
        <v>28</v>
      </c>
      <c r="G461">
        <v>40</v>
      </c>
      <c r="H461">
        <v>36</v>
      </c>
      <c r="I461">
        <v>4</v>
      </c>
      <c r="J461">
        <v>2.2999999999999998</v>
      </c>
      <c r="K461">
        <v>82.8</v>
      </c>
      <c r="L461">
        <v>9.1999999999999993</v>
      </c>
      <c r="M461">
        <v>2.9</v>
      </c>
      <c r="N461">
        <v>28.55</v>
      </c>
      <c r="O461">
        <v>0.1</v>
      </c>
      <c r="P461" t="s">
        <v>22</v>
      </c>
      <c r="Q461" t="s">
        <v>46</v>
      </c>
    </row>
    <row r="462" spans="1:18" x14ac:dyDescent="0.25">
      <c r="A462" s="1">
        <v>46190</v>
      </c>
      <c r="B462" t="s">
        <v>54</v>
      </c>
      <c r="C462" t="s">
        <v>45</v>
      </c>
      <c r="D462" t="s">
        <v>43</v>
      </c>
      <c r="E462" t="s">
        <v>30</v>
      </c>
      <c r="F462" t="s">
        <v>28</v>
      </c>
      <c r="G462">
        <v>22</v>
      </c>
      <c r="H462">
        <v>19</v>
      </c>
      <c r="I462">
        <v>3</v>
      </c>
      <c r="J462">
        <v>3.8</v>
      </c>
      <c r="K462">
        <v>72.2</v>
      </c>
      <c r="L462">
        <v>11.4</v>
      </c>
      <c r="M462">
        <v>1.74</v>
      </c>
      <c r="N462">
        <v>41.49</v>
      </c>
      <c r="O462">
        <v>0.13639999999999999</v>
      </c>
      <c r="P462" t="s">
        <v>22</v>
      </c>
      <c r="Q462" t="s">
        <v>46</v>
      </c>
    </row>
    <row r="463" spans="1:18" x14ac:dyDescent="0.25">
      <c r="A463" s="1">
        <v>46190</v>
      </c>
      <c r="B463" t="s">
        <v>54</v>
      </c>
      <c r="C463" t="s">
        <v>45</v>
      </c>
      <c r="D463" t="s">
        <v>43</v>
      </c>
      <c r="E463" t="s">
        <v>31</v>
      </c>
      <c r="F463" t="s">
        <v>32</v>
      </c>
      <c r="G463">
        <v>39</v>
      </c>
      <c r="H463">
        <v>30</v>
      </c>
      <c r="I463">
        <v>9</v>
      </c>
      <c r="J463">
        <v>2.9</v>
      </c>
      <c r="K463">
        <v>87</v>
      </c>
      <c r="L463">
        <v>26.1</v>
      </c>
      <c r="M463">
        <v>2.04</v>
      </c>
      <c r="N463">
        <v>42.65</v>
      </c>
      <c r="O463">
        <v>0.23080000000000001</v>
      </c>
      <c r="P463" t="s">
        <v>22</v>
      </c>
      <c r="Q463" t="s">
        <v>46</v>
      </c>
    </row>
    <row r="464" spans="1:18" x14ac:dyDescent="0.25">
      <c r="A464" s="1">
        <v>46190</v>
      </c>
      <c r="B464" t="s">
        <v>54</v>
      </c>
      <c r="C464" t="s">
        <v>45</v>
      </c>
      <c r="D464" t="s">
        <v>43</v>
      </c>
      <c r="E464" t="s">
        <v>33</v>
      </c>
      <c r="F464" t="s">
        <v>32</v>
      </c>
      <c r="G464">
        <v>30</v>
      </c>
      <c r="H464">
        <v>25</v>
      </c>
      <c r="I464">
        <v>5</v>
      </c>
      <c r="J464">
        <v>3</v>
      </c>
      <c r="K464">
        <v>75</v>
      </c>
      <c r="L464">
        <v>15</v>
      </c>
      <c r="M464">
        <v>1.62</v>
      </c>
      <c r="N464">
        <v>46.3</v>
      </c>
      <c r="O464">
        <v>0.16669999999999999</v>
      </c>
      <c r="P464" t="s">
        <v>22</v>
      </c>
      <c r="Q464" t="s">
        <v>46</v>
      </c>
    </row>
    <row r="465" spans="1:18" x14ac:dyDescent="0.25">
      <c r="A465" s="1">
        <v>46190</v>
      </c>
      <c r="B465" t="s">
        <v>54</v>
      </c>
      <c r="C465" t="s">
        <v>45</v>
      </c>
      <c r="D465" t="s">
        <v>43</v>
      </c>
      <c r="E465" t="s">
        <v>34</v>
      </c>
      <c r="F465" t="s">
        <v>32</v>
      </c>
      <c r="G465">
        <v>27</v>
      </c>
      <c r="H465">
        <v>20</v>
      </c>
      <c r="I465">
        <v>7</v>
      </c>
      <c r="J465">
        <v>3.5</v>
      </c>
      <c r="K465">
        <v>70</v>
      </c>
      <c r="L465">
        <v>24.5</v>
      </c>
      <c r="M465">
        <v>1.62</v>
      </c>
      <c r="N465">
        <v>43.21</v>
      </c>
      <c r="O465">
        <v>0.25929999999999997</v>
      </c>
      <c r="P465" t="s">
        <v>22</v>
      </c>
      <c r="Q465" t="s">
        <v>46</v>
      </c>
    </row>
    <row r="466" spans="1:18" x14ac:dyDescent="0.25">
      <c r="A466" s="1">
        <v>46190</v>
      </c>
      <c r="B466" t="s">
        <v>54</v>
      </c>
      <c r="C466" t="s">
        <v>45</v>
      </c>
      <c r="D466" t="s">
        <v>43</v>
      </c>
      <c r="E466" t="s">
        <v>37</v>
      </c>
      <c r="F466" t="s">
        <v>38</v>
      </c>
      <c r="G466">
        <v>94</v>
      </c>
      <c r="H466">
        <v>88</v>
      </c>
      <c r="I466">
        <v>6</v>
      </c>
      <c r="J466">
        <v>2.4</v>
      </c>
      <c r="K466">
        <v>211.2</v>
      </c>
      <c r="L466">
        <v>14.4</v>
      </c>
      <c r="M466">
        <v>1.76</v>
      </c>
      <c r="N466">
        <v>120</v>
      </c>
      <c r="O466">
        <v>6.3799999999999996E-2</v>
      </c>
      <c r="P466" t="s">
        <v>22</v>
      </c>
      <c r="Q466" t="s">
        <v>46</v>
      </c>
    </row>
    <row r="467" spans="1:18" x14ac:dyDescent="0.25">
      <c r="A467" s="1">
        <v>46190</v>
      </c>
      <c r="B467" t="s">
        <v>54</v>
      </c>
      <c r="C467" t="s">
        <v>45</v>
      </c>
      <c r="D467" t="s">
        <v>43</v>
      </c>
      <c r="E467" t="s">
        <v>39</v>
      </c>
      <c r="F467" t="s">
        <v>38</v>
      </c>
      <c r="G467">
        <v>46</v>
      </c>
      <c r="H467">
        <v>43</v>
      </c>
      <c r="I467">
        <v>3</v>
      </c>
      <c r="J467">
        <v>1.8</v>
      </c>
      <c r="K467">
        <v>77.400000000000006</v>
      </c>
      <c r="L467">
        <v>5.4</v>
      </c>
      <c r="M467">
        <v>1.03</v>
      </c>
      <c r="N467">
        <v>75.150000000000006</v>
      </c>
      <c r="O467">
        <v>6.5199999999999994E-2</v>
      </c>
      <c r="P467" t="s">
        <v>22</v>
      </c>
      <c r="Q467" t="s">
        <v>46</v>
      </c>
    </row>
    <row r="468" spans="1:18" x14ac:dyDescent="0.25">
      <c r="A468" s="1">
        <v>46190</v>
      </c>
      <c r="B468" t="s">
        <v>54</v>
      </c>
      <c r="C468" t="s">
        <v>45</v>
      </c>
      <c r="D468" t="s">
        <v>43</v>
      </c>
      <c r="E468" t="s">
        <v>40</v>
      </c>
      <c r="F468" t="s">
        <v>41</v>
      </c>
      <c r="G468">
        <v>39</v>
      </c>
      <c r="H468">
        <v>30</v>
      </c>
      <c r="I468">
        <v>9</v>
      </c>
      <c r="J468">
        <v>4.5999999999999996</v>
      </c>
      <c r="K468">
        <v>138</v>
      </c>
      <c r="L468">
        <v>41.4</v>
      </c>
      <c r="M468">
        <v>2.4300000000000002</v>
      </c>
      <c r="N468">
        <v>56.79</v>
      </c>
      <c r="O468">
        <v>0.23080000000000001</v>
      </c>
      <c r="P468" t="s">
        <v>35</v>
      </c>
      <c r="Q468" t="s">
        <v>46</v>
      </c>
      <c r="R468" t="s">
        <v>36</v>
      </c>
    </row>
    <row r="469" spans="1:18" x14ac:dyDescent="0.25">
      <c r="A469" s="1">
        <v>46190</v>
      </c>
      <c r="B469" t="s">
        <v>54</v>
      </c>
      <c r="C469" t="s">
        <v>45</v>
      </c>
      <c r="D469" t="s">
        <v>43</v>
      </c>
      <c r="E469" t="s">
        <v>42</v>
      </c>
      <c r="F469" t="s">
        <v>41</v>
      </c>
      <c r="G469">
        <v>25</v>
      </c>
      <c r="H469">
        <v>22</v>
      </c>
      <c r="I469">
        <v>3</v>
      </c>
      <c r="J469">
        <v>4.8</v>
      </c>
      <c r="K469">
        <v>105.6</v>
      </c>
      <c r="L469">
        <v>14.4</v>
      </c>
      <c r="M469">
        <v>1.62</v>
      </c>
      <c r="N469">
        <v>65.19</v>
      </c>
      <c r="O469">
        <v>0.12</v>
      </c>
      <c r="P469" t="s">
        <v>35</v>
      </c>
      <c r="Q469" t="s">
        <v>46</v>
      </c>
      <c r="R469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285F-0BCE-4AD4-973C-7C1CA83C18DF}">
  <dimension ref="A1:H19"/>
  <sheetViews>
    <sheetView workbookViewId="0">
      <selection activeCell="B12" sqref="B12"/>
    </sheetView>
  </sheetViews>
  <sheetFormatPr defaultRowHeight="15" x14ac:dyDescent="0.25"/>
  <cols>
    <col min="1" max="1" width="30" customWidth="1"/>
    <col min="2" max="2" width="16.140625" customWidth="1"/>
    <col min="3" max="3" width="11.5703125" customWidth="1"/>
    <col min="4" max="4" width="14.42578125" customWidth="1"/>
    <col min="5" max="5" width="11.7109375" customWidth="1"/>
    <col min="6" max="6" width="11.42578125" customWidth="1"/>
    <col min="7" max="7" width="12.5703125" customWidth="1"/>
    <col min="8" max="8" width="20.140625" customWidth="1"/>
  </cols>
  <sheetData>
    <row r="1" spans="1:8" x14ac:dyDescent="0.25">
      <c r="A1" t="s">
        <v>56</v>
      </c>
    </row>
    <row r="3" spans="1:8" x14ac:dyDescent="0.25">
      <c r="A3" t="s">
        <v>57</v>
      </c>
    </row>
    <row r="4" spans="1:8" x14ac:dyDescent="0.25">
      <c r="A4" t="s">
        <v>58</v>
      </c>
      <c r="B4" s="3">
        <f>SUM(B$16,B$17,B$18,B$19)</f>
        <v>51424.9</v>
      </c>
    </row>
    <row r="5" spans="1:8" x14ac:dyDescent="0.25">
      <c r="A5" t="s">
        <v>59</v>
      </c>
      <c r="B5">
        <f>SUM(C$16,C$17,C$18,C$19)</f>
        <v>17467</v>
      </c>
    </row>
    <row r="6" spans="1:8" x14ac:dyDescent="0.25">
      <c r="A6" t="s">
        <v>60</v>
      </c>
      <c r="B6">
        <f>SUM(D$16,D$17,D$18,D$19)</f>
        <v>20181</v>
      </c>
    </row>
    <row r="7" spans="1:8" x14ac:dyDescent="0.25">
      <c r="A7" t="s">
        <v>61</v>
      </c>
      <c r="B7">
        <f>SUM(E$16,E$17,E$18,E$19)</f>
        <v>2714</v>
      </c>
    </row>
    <row r="8" spans="1:8" x14ac:dyDescent="0.25">
      <c r="A8" t="s">
        <v>62</v>
      </c>
      <c r="B8" s="2">
        <f>SUM(F$16,F$17,F$18,F$19)</f>
        <v>8368.6000000000022</v>
      </c>
    </row>
    <row r="9" spans="1:8" x14ac:dyDescent="0.25">
      <c r="A9" t="s">
        <v>13</v>
      </c>
      <c r="B9" s="4">
        <f>B7/B6</f>
        <v>0.1344829294881324</v>
      </c>
    </row>
    <row r="10" spans="1:8" x14ac:dyDescent="0.25">
      <c r="A10" t="s">
        <v>63</v>
      </c>
      <c r="B10" s="2">
        <f>B4/SUM(BakeryLog[Staff Hours Allocated])</f>
        <v>51.697864725751934</v>
      </c>
    </row>
    <row r="11" spans="1:8" x14ac:dyDescent="0.25">
      <c r="A11" t="s">
        <v>64</v>
      </c>
      <c r="B11" t="str" cm="1">
        <f t="array" ref="B11">INDEX(BakeryLog[Product],MODE(MATCH(BakeryLog[Product],BakeryLog[Product], 0)))</f>
        <v>Croissant</v>
      </c>
    </row>
    <row r="12" spans="1:8" x14ac:dyDescent="0.25">
      <c r="A12" t="s">
        <v>65</v>
      </c>
      <c r="B12" t="str" cm="1">
        <f t="array" ref="B12">INDEX(BakeryLog[Product],MATCH(MAX(SUMIF(BakeryLog[Product],BakeryLog[Product],BakeryLog[Waste Units])),SUMIF(BakeryLog[Product],BakeryLog[Product],BakeryLog[Waste Units]),0))</f>
        <v>Croissant</v>
      </c>
    </row>
    <row r="15" spans="1:8" x14ac:dyDescent="0.25">
      <c r="A15" t="s">
        <v>0</v>
      </c>
      <c r="B15" t="s">
        <v>9</v>
      </c>
      <c r="C15" t="s">
        <v>66</v>
      </c>
      <c r="D15" t="s">
        <v>5</v>
      </c>
      <c r="E15" t="s">
        <v>7</v>
      </c>
      <c r="F15" t="s">
        <v>10</v>
      </c>
      <c r="G15" t="s">
        <v>13</v>
      </c>
      <c r="H15" t="s">
        <v>67</v>
      </c>
    </row>
    <row r="16" spans="1:8" x14ac:dyDescent="0.25">
      <c r="A16" t="s">
        <v>17</v>
      </c>
      <c r="B16" s="2">
        <f>SUMIF(BakeryLog[Week], A16, BakeryLog[Revenue])</f>
        <v>14453.400000000005</v>
      </c>
      <c r="C16">
        <f>SUMIF(BakeryLog[Week], A16, BakeryLog[Units Sold])</f>
        <v>4894</v>
      </c>
      <c r="D16">
        <f>SUMIF(BakeryLog[Week], A16, BakeryLog[Units Produced])</f>
        <v>5654</v>
      </c>
      <c r="E16">
        <f>SUMIF(BakeryLog[Week], A16, BakeryLog[Waste Units])</f>
        <v>760</v>
      </c>
      <c r="F16" s="2">
        <f>SUMIF(BakeryLog[Week], A16, BakeryLog[Waste Value])</f>
        <v>2317.5</v>
      </c>
      <c r="G16" s="4">
        <f>E16/D16</f>
        <v>0.13441811107180757</v>
      </c>
      <c r="H16" s="2">
        <f>B16/SUMIF(BakeryLog[Week], A16, BakeryLog[Staff Hours Allocated])</f>
        <v>51.84890228153251</v>
      </c>
    </row>
    <row r="17" spans="1:8" x14ac:dyDescent="0.25">
      <c r="A17" t="s">
        <v>51</v>
      </c>
      <c r="B17" s="2">
        <f>SUMIF(BakeryLog[Week], A17, BakeryLog[Revenue])</f>
        <v>14725.499999999996</v>
      </c>
      <c r="C17">
        <f>SUMIF(BakeryLog[Week], A17, BakeryLog[Units Sold])</f>
        <v>5009</v>
      </c>
      <c r="D17">
        <f>SUMIF(BakeryLog[Week], A17, BakeryLog[Units Produced])</f>
        <v>5756</v>
      </c>
      <c r="E17">
        <f>SUMIF(BakeryLog[Week], A17, BakeryLog[Waste Units])</f>
        <v>747</v>
      </c>
      <c r="F17" s="2">
        <f>SUMIF(BakeryLog[Week], A17, BakeryLog[Waste Value])</f>
        <v>2300.1000000000004</v>
      </c>
      <c r="G17" s="4">
        <f t="shared" ref="G17:G19" si="0">E17/D17</f>
        <v>0.12977762334954829</v>
      </c>
      <c r="H17" s="2">
        <f>B17/SUMIF(BakeryLog[Week], A17, BakeryLog[Staff Hours Allocated])</f>
        <v>52.114595130237802</v>
      </c>
    </row>
    <row r="18" spans="1:8" x14ac:dyDescent="0.25">
      <c r="A18" t="s">
        <v>53</v>
      </c>
      <c r="B18" s="2">
        <f>SUMIF(BakeryLog[Week], A18, BakeryLog[Revenue])</f>
        <v>14276.9</v>
      </c>
      <c r="C18">
        <f>SUMIF(BakeryLog[Week], A18, BakeryLog[Units Sold])</f>
        <v>4855</v>
      </c>
      <c r="D18">
        <f>SUMIF(BakeryLog[Week], A18, BakeryLog[Units Produced])</f>
        <v>5644</v>
      </c>
      <c r="E18">
        <f>SUMIF(BakeryLog[Week], A18, BakeryLog[Waste Units])</f>
        <v>789</v>
      </c>
      <c r="F18" s="2">
        <f>SUMIF(BakeryLog[Week], A18, BakeryLog[Waste Value])</f>
        <v>2448.2000000000007</v>
      </c>
      <c r="G18" s="4">
        <f t="shared" si="0"/>
        <v>0.13979447200566975</v>
      </c>
      <c r="H18" s="2">
        <f>B18/SUMIF(BakeryLog[Week], A18, BakeryLog[Staff Hours Allocated])</f>
        <v>51.241475845237225</v>
      </c>
    </row>
    <row r="19" spans="1:8" x14ac:dyDescent="0.25">
      <c r="A19" t="s">
        <v>54</v>
      </c>
      <c r="B19" s="2">
        <f>SUMIF(BakeryLog[Week], A19, BakeryLog[Revenue])</f>
        <v>7969.0999999999985</v>
      </c>
      <c r="C19">
        <f>SUMIF(BakeryLog[Week], A19, BakeryLog[Units Sold])</f>
        <v>2709</v>
      </c>
      <c r="D19">
        <f>SUMIF(BakeryLog[Week], A19, BakeryLog[Units Produced])</f>
        <v>3127</v>
      </c>
      <c r="E19">
        <f>SUMIF(BakeryLog[Week], A19, BakeryLog[Waste Units])</f>
        <v>418</v>
      </c>
      <c r="F19" s="2">
        <f>SUMIF(BakeryLog[Week], A19, BakeryLog[Waste Value])</f>
        <v>1302.8000000000009</v>
      </c>
      <c r="G19" s="4">
        <f t="shared" si="0"/>
        <v>0.13367444835305403</v>
      </c>
      <c r="H19" s="2">
        <f>B19/SUMIF(BakeryLog[Week], A19, BakeryLog[Staff Hours Allocated])</f>
        <v>51.486626179092895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99BC8-C4EC-4CF0-96D9-089B735990C4}">
  <dimension ref="A1:J33"/>
  <sheetViews>
    <sheetView workbookViewId="0">
      <selection activeCell="F11" sqref="F11"/>
    </sheetView>
  </sheetViews>
  <sheetFormatPr defaultRowHeight="15" x14ac:dyDescent="0.25"/>
  <cols>
    <col min="1" max="1" width="23" bestFit="1" customWidth="1"/>
    <col min="2" max="2" width="18.85546875" bestFit="1" customWidth="1"/>
    <col min="5" max="5" width="23" bestFit="1" customWidth="1"/>
    <col min="6" max="6" width="17" bestFit="1" customWidth="1"/>
    <col min="9" max="9" width="23" bestFit="1" customWidth="1"/>
    <col min="10" max="10" width="19.140625" bestFit="1" customWidth="1"/>
    <col min="11" max="11" width="15.85546875" bestFit="1" customWidth="1"/>
  </cols>
  <sheetData>
    <row r="1" spans="1:10" x14ac:dyDescent="0.25">
      <c r="A1" s="7" t="s">
        <v>70</v>
      </c>
      <c r="E1" s="7" t="s">
        <v>75</v>
      </c>
      <c r="I1" s="7" t="s">
        <v>78</v>
      </c>
    </row>
    <row r="2" spans="1:10" x14ac:dyDescent="0.25">
      <c r="A2" s="5" t="s">
        <v>3</v>
      </c>
      <c r="B2" t="s">
        <v>69</v>
      </c>
      <c r="E2" s="5" t="s">
        <v>4</v>
      </c>
      <c r="F2" t="s">
        <v>69</v>
      </c>
      <c r="I2" s="5" t="s">
        <v>3</v>
      </c>
      <c r="J2" t="s">
        <v>77</v>
      </c>
    </row>
    <row r="3" spans="1:10" x14ac:dyDescent="0.25">
      <c r="A3" s="6" t="s">
        <v>37</v>
      </c>
      <c r="B3" s="2">
        <v>7879.2000000000007</v>
      </c>
      <c r="E3" s="6" t="s">
        <v>21</v>
      </c>
      <c r="F3" s="2">
        <v>12419.099999999999</v>
      </c>
      <c r="I3" s="6" t="s">
        <v>25</v>
      </c>
      <c r="J3" s="2">
        <v>842.80000000000018</v>
      </c>
    </row>
    <row r="4" spans="1:10" x14ac:dyDescent="0.25">
      <c r="A4" s="6" t="s">
        <v>40</v>
      </c>
      <c r="B4" s="2">
        <v>5152</v>
      </c>
      <c r="E4" s="6" t="s">
        <v>38</v>
      </c>
      <c r="F4" s="2">
        <v>11067.000000000002</v>
      </c>
      <c r="I4" s="6" t="s">
        <v>40</v>
      </c>
      <c r="J4" s="2">
        <v>837.19999999999982</v>
      </c>
    </row>
    <row r="5" spans="1:10" x14ac:dyDescent="0.25">
      <c r="A5" s="6" t="s">
        <v>20</v>
      </c>
      <c r="B5" s="2">
        <v>4790</v>
      </c>
      <c r="E5" s="6" t="s">
        <v>28</v>
      </c>
      <c r="F5" s="2">
        <v>9640.1</v>
      </c>
      <c r="I5" s="6" t="s">
        <v>20</v>
      </c>
      <c r="J5" s="2">
        <v>787.5</v>
      </c>
    </row>
    <row r="6" spans="1:10" x14ac:dyDescent="0.25">
      <c r="A6" s="6" t="s">
        <v>25</v>
      </c>
      <c r="B6" s="2">
        <v>4079.6000000000004</v>
      </c>
      <c r="E6" s="6" t="s">
        <v>32</v>
      </c>
      <c r="F6" s="2">
        <v>9517.9000000000015</v>
      </c>
      <c r="I6" s="6" t="s">
        <v>26</v>
      </c>
      <c r="J6" s="2">
        <v>775.00000000000023</v>
      </c>
    </row>
    <row r="7" spans="1:10" x14ac:dyDescent="0.25">
      <c r="A7" s="6" t="s">
        <v>27</v>
      </c>
      <c r="B7" s="2">
        <v>4065.5999999999995</v>
      </c>
      <c r="E7" s="6" t="s">
        <v>41</v>
      </c>
      <c r="F7" s="2">
        <v>8780.8000000000011</v>
      </c>
      <c r="I7" s="6" t="s">
        <v>42</v>
      </c>
      <c r="J7" s="2">
        <v>715.2</v>
      </c>
    </row>
    <row r="8" spans="1:10" x14ac:dyDescent="0.25">
      <c r="A8" s="6" t="s">
        <v>42</v>
      </c>
      <c r="B8" s="2">
        <v>3628.8</v>
      </c>
      <c r="E8" s="6" t="s">
        <v>68</v>
      </c>
      <c r="F8" s="2">
        <v>51424.9</v>
      </c>
      <c r="I8" s="6" t="s">
        <v>31</v>
      </c>
      <c r="J8" s="2">
        <v>684.4000000000002</v>
      </c>
    </row>
    <row r="9" spans="1:10" x14ac:dyDescent="0.25">
      <c r="A9" s="6" t="s">
        <v>31</v>
      </c>
      <c r="B9" s="2">
        <v>3569.8999999999996</v>
      </c>
      <c r="I9" s="6" t="s">
        <v>27</v>
      </c>
      <c r="J9" s="2">
        <v>680.39999999999986</v>
      </c>
    </row>
    <row r="10" spans="1:10" x14ac:dyDescent="0.25">
      <c r="A10" s="6" t="s">
        <v>26</v>
      </c>
      <c r="B10" s="2">
        <v>3549.4999999999991</v>
      </c>
      <c r="E10" s="8" t="s">
        <v>76</v>
      </c>
      <c r="I10" s="6" t="s">
        <v>37</v>
      </c>
      <c r="J10" s="2">
        <v>655.20000000000005</v>
      </c>
    </row>
    <row r="11" spans="1:10" x14ac:dyDescent="0.25">
      <c r="A11" s="6" t="s">
        <v>39</v>
      </c>
      <c r="B11" s="2">
        <v>3187.7999999999997</v>
      </c>
      <c r="E11" s="5" t="s">
        <v>0</v>
      </c>
      <c r="F11" t="s">
        <v>69</v>
      </c>
      <c r="I11" s="6" t="s">
        <v>33</v>
      </c>
      <c r="J11" s="2">
        <v>609</v>
      </c>
    </row>
    <row r="12" spans="1:10" x14ac:dyDescent="0.25">
      <c r="A12" s="6" t="s">
        <v>33</v>
      </c>
      <c r="B12" s="2">
        <v>3057</v>
      </c>
      <c r="E12" s="6" t="s">
        <v>17</v>
      </c>
      <c r="F12" s="2">
        <v>14453.400000000005</v>
      </c>
      <c r="I12" s="6" t="s">
        <v>29</v>
      </c>
      <c r="J12" s="2">
        <v>538.20000000000016</v>
      </c>
    </row>
    <row r="13" spans="1:10" x14ac:dyDescent="0.25">
      <c r="A13" s="6" t="s">
        <v>29</v>
      </c>
      <c r="B13" s="2">
        <v>2960.1</v>
      </c>
      <c r="E13" s="6" t="s">
        <v>51</v>
      </c>
      <c r="F13" s="2">
        <v>14725.499999999996</v>
      </c>
      <c r="I13" s="6" t="s">
        <v>30</v>
      </c>
      <c r="J13" s="2">
        <v>528.19999999999993</v>
      </c>
    </row>
    <row r="14" spans="1:10" x14ac:dyDescent="0.25">
      <c r="A14" s="6" t="s">
        <v>34</v>
      </c>
      <c r="B14" s="2">
        <v>2891</v>
      </c>
      <c r="E14" s="6" t="s">
        <v>53</v>
      </c>
      <c r="F14" s="2">
        <v>14276.9</v>
      </c>
      <c r="I14" s="6" t="s">
        <v>34</v>
      </c>
      <c r="J14" s="2">
        <v>472.5</v>
      </c>
    </row>
    <row r="15" spans="1:10" x14ac:dyDescent="0.25">
      <c r="A15" s="6" t="s">
        <v>30</v>
      </c>
      <c r="B15" s="2">
        <v>2614.3999999999996</v>
      </c>
      <c r="E15" s="6" t="s">
        <v>54</v>
      </c>
      <c r="F15" s="2">
        <v>7969.0999999999985</v>
      </c>
      <c r="I15" s="6" t="s">
        <v>39</v>
      </c>
      <c r="J15" s="2">
        <v>243.00000000000003</v>
      </c>
    </row>
    <row r="16" spans="1:10" x14ac:dyDescent="0.25">
      <c r="A16" s="6" t="s">
        <v>68</v>
      </c>
      <c r="B16" s="2">
        <v>51424.900000000009</v>
      </c>
      <c r="E16" s="6" t="s">
        <v>68</v>
      </c>
      <c r="F16" s="2">
        <v>51424.9</v>
      </c>
      <c r="I16" s="6" t="s">
        <v>68</v>
      </c>
      <c r="J16" s="2">
        <v>8368.5999999999985</v>
      </c>
    </row>
    <row r="18" spans="1:6" x14ac:dyDescent="0.25">
      <c r="A18" s="7" t="s">
        <v>74</v>
      </c>
      <c r="E18" s="7" t="s">
        <v>72</v>
      </c>
    </row>
    <row r="19" spans="1:6" x14ac:dyDescent="0.25">
      <c r="A19" s="5" t="s">
        <v>3</v>
      </c>
      <c r="B19" t="s">
        <v>73</v>
      </c>
      <c r="E19" s="5" t="s">
        <v>3</v>
      </c>
      <c r="F19" t="s">
        <v>71</v>
      </c>
    </row>
    <row r="20" spans="1:6" x14ac:dyDescent="0.25">
      <c r="A20" s="6" t="s">
        <v>20</v>
      </c>
      <c r="B20">
        <v>315</v>
      </c>
      <c r="E20" s="6" t="s">
        <v>37</v>
      </c>
      <c r="F20">
        <v>3283</v>
      </c>
    </row>
    <row r="21" spans="1:6" x14ac:dyDescent="0.25">
      <c r="A21" s="6" t="s">
        <v>25</v>
      </c>
      <c r="B21">
        <v>301</v>
      </c>
      <c r="E21" s="6" t="s">
        <v>20</v>
      </c>
      <c r="F21">
        <v>1916</v>
      </c>
    </row>
    <row r="22" spans="1:6" x14ac:dyDescent="0.25">
      <c r="A22" s="6" t="s">
        <v>37</v>
      </c>
      <c r="B22">
        <v>273</v>
      </c>
      <c r="E22" s="6" t="s">
        <v>39</v>
      </c>
      <c r="F22">
        <v>1771</v>
      </c>
    </row>
    <row r="23" spans="1:6" x14ac:dyDescent="0.25">
      <c r="A23" s="6" t="s">
        <v>26</v>
      </c>
      <c r="B23">
        <v>250</v>
      </c>
      <c r="E23" s="6" t="s">
        <v>25</v>
      </c>
      <c r="F23">
        <v>1457</v>
      </c>
    </row>
    <row r="24" spans="1:6" x14ac:dyDescent="0.25">
      <c r="A24" s="6" t="s">
        <v>31</v>
      </c>
      <c r="B24">
        <v>236</v>
      </c>
      <c r="E24" s="6" t="s">
        <v>29</v>
      </c>
      <c r="F24">
        <v>1287</v>
      </c>
    </row>
    <row r="25" spans="1:6" x14ac:dyDescent="0.25">
      <c r="A25" s="6" t="s">
        <v>29</v>
      </c>
      <c r="B25">
        <v>234</v>
      </c>
      <c r="E25" s="6" t="s">
        <v>31</v>
      </c>
      <c r="F25">
        <v>1231</v>
      </c>
    </row>
    <row r="26" spans="1:6" x14ac:dyDescent="0.25">
      <c r="A26" s="6" t="s">
        <v>33</v>
      </c>
      <c r="B26">
        <v>203</v>
      </c>
      <c r="E26" s="6" t="s">
        <v>26</v>
      </c>
      <c r="F26">
        <v>1145</v>
      </c>
    </row>
    <row r="27" spans="1:6" x14ac:dyDescent="0.25">
      <c r="A27" s="6" t="s">
        <v>40</v>
      </c>
      <c r="B27">
        <v>182</v>
      </c>
      <c r="E27" s="6" t="s">
        <v>40</v>
      </c>
      <c r="F27">
        <v>1120</v>
      </c>
    </row>
    <row r="28" spans="1:6" x14ac:dyDescent="0.25">
      <c r="A28" s="6" t="s">
        <v>27</v>
      </c>
      <c r="B28">
        <v>162</v>
      </c>
      <c r="E28" s="6" t="s">
        <v>33</v>
      </c>
      <c r="F28">
        <v>1019</v>
      </c>
    </row>
    <row r="29" spans="1:6" x14ac:dyDescent="0.25">
      <c r="A29" s="6" t="s">
        <v>42</v>
      </c>
      <c r="B29">
        <v>149</v>
      </c>
      <c r="E29" s="6" t="s">
        <v>27</v>
      </c>
      <c r="F29">
        <v>968</v>
      </c>
    </row>
    <row r="30" spans="1:6" x14ac:dyDescent="0.25">
      <c r="A30" s="6" t="s">
        <v>30</v>
      </c>
      <c r="B30">
        <v>139</v>
      </c>
      <c r="E30" s="6" t="s">
        <v>34</v>
      </c>
      <c r="F30">
        <v>826</v>
      </c>
    </row>
    <row r="31" spans="1:6" x14ac:dyDescent="0.25">
      <c r="A31" s="6" t="s">
        <v>34</v>
      </c>
      <c r="B31">
        <v>135</v>
      </c>
      <c r="E31" s="6" t="s">
        <v>42</v>
      </c>
      <c r="F31">
        <v>756</v>
      </c>
    </row>
    <row r="32" spans="1:6" x14ac:dyDescent="0.25">
      <c r="A32" s="6" t="s">
        <v>39</v>
      </c>
      <c r="B32">
        <v>135</v>
      </c>
      <c r="E32" s="6" t="s">
        <v>30</v>
      </c>
      <c r="F32">
        <v>688</v>
      </c>
    </row>
    <row r="33" spans="1:6" x14ac:dyDescent="0.25">
      <c r="A33" s="6" t="s">
        <v>68</v>
      </c>
      <c r="B33">
        <v>2714</v>
      </c>
      <c r="E33" s="6" t="s">
        <v>68</v>
      </c>
      <c r="F33">
        <v>17467</v>
      </c>
    </row>
  </sheetData>
  <pageMargins left="0.7" right="0.7" top="0.75" bottom="0.75" header="0.3" footer="0.3"/>
  <pageSetup paperSize="9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A5F81-0CAA-484F-AA3B-9BA10A2D9308}">
  <dimension ref="A1"/>
  <sheetViews>
    <sheetView workbookViewId="0">
      <selection activeCell="T16" sqref="T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165FC-13F8-4D64-9BF1-E33F834B0174}">
  <dimension ref="A1:G15"/>
  <sheetViews>
    <sheetView tabSelected="1" workbookViewId="0">
      <selection activeCell="D18" sqref="D18"/>
    </sheetView>
  </sheetViews>
  <sheetFormatPr defaultRowHeight="15" x14ac:dyDescent="0.25"/>
  <cols>
    <col min="1" max="1" width="23" bestFit="1" customWidth="1"/>
    <col min="2" max="2" width="15.85546875" bestFit="1" customWidth="1"/>
    <col min="3" max="3" width="21.85546875" bestFit="1" customWidth="1"/>
    <col min="4" max="4" width="17" bestFit="1" customWidth="1"/>
    <col min="5" max="5" width="18.85546875" bestFit="1" customWidth="1"/>
    <col min="6" max="6" width="19.140625" bestFit="1" customWidth="1"/>
    <col min="7" max="7" width="20.28515625" bestFit="1" customWidth="1"/>
    <col min="8" max="8" width="20.42578125" customWidth="1"/>
    <col min="9" max="10" width="3" bestFit="1" customWidth="1"/>
    <col min="11" max="17" width="5" bestFit="1" customWidth="1"/>
    <col min="18" max="18" width="3" bestFit="1" customWidth="1"/>
    <col min="19" max="22" width="5" bestFit="1" customWidth="1"/>
    <col min="23" max="23" width="3" bestFit="1" customWidth="1"/>
    <col min="24" max="28" width="5" bestFit="1" customWidth="1"/>
    <col min="29" max="29" width="3" bestFit="1" customWidth="1"/>
    <col min="30" max="30" width="5" bestFit="1" customWidth="1"/>
    <col min="31" max="31" width="3" bestFit="1" customWidth="1"/>
    <col min="32" max="34" width="5" bestFit="1" customWidth="1"/>
    <col min="35" max="35" width="3" bestFit="1" customWidth="1"/>
    <col min="36" max="40" width="5" bestFit="1" customWidth="1"/>
    <col min="41" max="41" width="3" bestFit="1" customWidth="1"/>
    <col min="42" max="43" width="5" bestFit="1" customWidth="1"/>
    <col min="44" max="44" width="3" bestFit="1" customWidth="1"/>
    <col min="45" max="47" width="5" bestFit="1" customWidth="1"/>
    <col min="48" max="48" width="3" bestFit="1" customWidth="1"/>
    <col min="49" max="54" width="5" bestFit="1" customWidth="1"/>
    <col min="55" max="55" width="3" bestFit="1" customWidth="1"/>
    <col min="56" max="60" width="5" bestFit="1" customWidth="1"/>
    <col min="61" max="61" width="3" bestFit="1" customWidth="1"/>
    <col min="62" max="62" width="5" bestFit="1" customWidth="1"/>
    <col min="63" max="63" width="3" bestFit="1" customWidth="1"/>
    <col min="64" max="66" width="5" bestFit="1" customWidth="1"/>
    <col min="67" max="67" width="3" bestFit="1" customWidth="1"/>
    <col min="68" max="73" width="5" bestFit="1" customWidth="1"/>
    <col min="74" max="75" width="3" bestFit="1" customWidth="1"/>
    <col min="76" max="77" width="5" bestFit="1" customWidth="1"/>
    <col min="78" max="78" width="3" bestFit="1" customWidth="1"/>
    <col min="79" max="80" width="5" bestFit="1" customWidth="1"/>
    <col min="81" max="81" width="3" bestFit="1" customWidth="1"/>
    <col min="82" max="83" width="5" bestFit="1" customWidth="1"/>
    <col min="84" max="84" width="3" bestFit="1" customWidth="1"/>
    <col min="85" max="85" width="5" bestFit="1" customWidth="1"/>
    <col min="86" max="86" width="3" bestFit="1" customWidth="1"/>
    <col min="87" max="89" width="5" bestFit="1" customWidth="1"/>
    <col min="90" max="90" width="3" bestFit="1" customWidth="1"/>
    <col min="91" max="92" width="5" bestFit="1" customWidth="1"/>
    <col min="93" max="93" width="3" bestFit="1" customWidth="1"/>
    <col min="94" max="94" width="5" bestFit="1" customWidth="1"/>
    <col min="95" max="97" width="6" bestFit="1" customWidth="1"/>
    <col min="98" max="98" width="4" bestFit="1" customWidth="1"/>
    <col min="99" max="102" width="6" bestFit="1" customWidth="1"/>
    <col min="103" max="103" width="4" bestFit="1" customWidth="1"/>
    <col min="104" max="109" width="6" bestFit="1" customWidth="1"/>
    <col min="110" max="110" width="4" bestFit="1" customWidth="1"/>
    <col min="111" max="116" width="6" bestFit="1" customWidth="1"/>
    <col min="117" max="117" width="4" bestFit="1" customWidth="1"/>
    <col min="118" max="120" width="6" bestFit="1" customWidth="1"/>
    <col min="121" max="121" width="4" bestFit="1" customWidth="1"/>
    <col min="122" max="123" width="6" bestFit="1" customWidth="1"/>
    <col min="124" max="124" width="4" bestFit="1" customWidth="1"/>
    <col min="125" max="126" width="6" bestFit="1" customWidth="1"/>
    <col min="127" max="128" width="4" bestFit="1" customWidth="1"/>
    <col min="129" max="130" width="6" bestFit="1" customWidth="1"/>
    <col min="131" max="131" width="4" bestFit="1" customWidth="1"/>
    <col min="132" max="135" width="6" bestFit="1" customWidth="1"/>
    <col min="136" max="136" width="4" bestFit="1" customWidth="1"/>
    <col min="137" max="139" width="6" bestFit="1" customWidth="1"/>
    <col min="140" max="140" width="4" bestFit="1" customWidth="1"/>
    <col min="141" max="141" width="6" bestFit="1" customWidth="1"/>
    <col min="142" max="142" width="4" bestFit="1" customWidth="1"/>
    <col min="143" max="157" width="6" bestFit="1" customWidth="1"/>
    <col min="158" max="158" width="4" bestFit="1" customWidth="1"/>
    <col min="159" max="162" width="6" bestFit="1" customWidth="1"/>
    <col min="163" max="164" width="4" bestFit="1" customWidth="1"/>
    <col min="165" max="165" width="6" bestFit="1" customWidth="1"/>
    <col min="166" max="166" width="4" bestFit="1" customWidth="1"/>
    <col min="167" max="170" width="6" bestFit="1" customWidth="1"/>
    <col min="171" max="171" width="4" bestFit="1" customWidth="1"/>
    <col min="172" max="173" width="6" bestFit="1" customWidth="1"/>
    <col min="174" max="174" width="4" bestFit="1" customWidth="1"/>
    <col min="175" max="179" width="6" bestFit="1" customWidth="1"/>
    <col min="180" max="180" width="4" bestFit="1" customWidth="1"/>
    <col min="181" max="181" width="6" bestFit="1" customWidth="1"/>
    <col min="182" max="182" width="4" bestFit="1" customWidth="1"/>
    <col min="183" max="187" width="6" bestFit="1" customWidth="1"/>
    <col min="188" max="188" width="4" bestFit="1" customWidth="1"/>
    <col min="189" max="190" width="6" bestFit="1" customWidth="1"/>
    <col min="191" max="191" width="4" bestFit="1" customWidth="1"/>
    <col min="192" max="194" width="6" bestFit="1" customWidth="1"/>
    <col min="195" max="195" width="4" bestFit="1" customWidth="1"/>
    <col min="196" max="197" width="6" bestFit="1" customWidth="1"/>
    <col min="198" max="198" width="4" bestFit="1" customWidth="1"/>
    <col min="199" max="202" width="6" bestFit="1" customWidth="1"/>
    <col min="203" max="203" width="4" bestFit="1" customWidth="1"/>
    <col min="204" max="205" width="6" bestFit="1" customWidth="1"/>
    <col min="206" max="206" width="4" bestFit="1" customWidth="1"/>
    <col min="207" max="207" width="6" bestFit="1" customWidth="1"/>
    <col min="208" max="208" width="4" bestFit="1" customWidth="1"/>
    <col min="209" max="212" width="6" bestFit="1" customWidth="1"/>
    <col min="213" max="213" width="4" bestFit="1" customWidth="1"/>
    <col min="214" max="217" width="6" bestFit="1" customWidth="1"/>
    <col min="218" max="218" width="11.28515625" bestFit="1" customWidth="1"/>
  </cols>
  <sheetData>
    <row r="1" spans="1:7" x14ac:dyDescent="0.25">
      <c r="A1" s="5" t="s">
        <v>91</v>
      </c>
      <c r="B1" t="s">
        <v>58</v>
      </c>
      <c r="C1" t="s">
        <v>60</v>
      </c>
      <c r="D1" t="s">
        <v>59</v>
      </c>
      <c r="E1" t="s">
        <v>61</v>
      </c>
      <c r="F1" t="s">
        <v>62</v>
      </c>
      <c r="G1" s="7" t="s">
        <v>13</v>
      </c>
    </row>
    <row r="2" spans="1:7" x14ac:dyDescent="0.25">
      <c r="A2" s="6" t="s">
        <v>29</v>
      </c>
      <c r="B2" s="2">
        <v>2960.1</v>
      </c>
      <c r="C2">
        <v>1521</v>
      </c>
      <c r="D2">
        <v>1287</v>
      </c>
      <c r="E2">
        <v>234</v>
      </c>
      <c r="F2" s="2">
        <v>538.20000000000016</v>
      </c>
      <c r="G2">
        <f>SUM(E2/C2)</f>
        <v>0.15384615384615385</v>
      </c>
    </row>
    <row r="3" spans="1:7" x14ac:dyDescent="0.25">
      <c r="A3" s="6" t="s">
        <v>31</v>
      </c>
      <c r="B3" s="2">
        <v>3569.8999999999996</v>
      </c>
      <c r="C3">
        <v>1467</v>
      </c>
      <c r="D3">
        <v>1231</v>
      </c>
      <c r="E3">
        <v>236</v>
      </c>
      <c r="F3" s="2">
        <v>684.4000000000002</v>
      </c>
      <c r="G3">
        <f t="shared" ref="G3:G15" si="0">SUM(E3/C3)</f>
        <v>0.16087252897068849</v>
      </c>
    </row>
    <row r="4" spans="1:7" x14ac:dyDescent="0.25">
      <c r="A4" s="6" t="s">
        <v>33</v>
      </c>
      <c r="B4" s="2">
        <v>3057</v>
      </c>
      <c r="C4">
        <v>1222</v>
      </c>
      <c r="D4">
        <v>1019</v>
      </c>
      <c r="E4">
        <v>203</v>
      </c>
      <c r="F4" s="2">
        <v>609</v>
      </c>
      <c r="G4">
        <f t="shared" si="0"/>
        <v>0.16612111292962356</v>
      </c>
    </row>
    <row r="5" spans="1:7" x14ac:dyDescent="0.25">
      <c r="A5" s="6" t="s">
        <v>26</v>
      </c>
      <c r="B5" s="2">
        <v>3549.4999999999991</v>
      </c>
      <c r="C5">
        <v>1395</v>
      </c>
      <c r="D5">
        <v>1145</v>
      </c>
      <c r="E5">
        <v>250</v>
      </c>
      <c r="F5" s="2">
        <v>775.00000000000023</v>
      </c>
      <c r="G5">
        <f t="shared" si="0"/>
        <v>0.17921146953405018</v>
      </c>
    </row>
    <row r="6" spans="1:7" x14ac:dyDescent="0.25">
      <c r="A6" s="6" t="s">
        <v>37</v>
      </c>
      <c r="B6" s="2">
        <v>7879.2000000000007</v>
      </c>
      <c r="C6">
        <v>3556</v>
      </c>
      <c r="D6">
        <v>3283</v>
      </c>
      <c r="E6">
        <v>273</v>
      </c>
      <c r="F6" s="2">
        <v>655.20000000000005</v>
      </c>
      <c r="G6">
        <f t="shared" si="0"/>
        <v>7.6771653543307089E-2</v>
      </c>
    </row>
    <row r="7" spans="1:7" x14ac:dyDescent="0.25">
      <c r="A7" s="6" t="s">
        <v>20</v>
      </c>
      <c r="B7" s="2">
        <v>4790</v>
      </c>
      <c r="C7">
        <v>2231</v>
      </c>
      <c r="D7">
        <v>1916</v>
      </c>
      <c r="E7">
        <v>315</v>
      </c>
      <c r="F7" s="2">
        <v>787.5</v>
      </c>
      <c r="G7">
        <f t="shared" si="0"/>
        <v>0.14119229045271178</v>
      </c>
    </row>
    <row r="8" spans="1:7" x14ac:dyDescent="0.25">
      <c r="A8" s="6" t="s">
        <v>40</v>
      </c>
      <c r="B8" s="2">
        <v>5152</v>
      </c>
      <c r="C8">
        <v>1302</v>
      </c>
      <c r="D8">
        <v>1120</v>
      </c>
      <c r="E8">
        <v>182</v>
      </c>
      <c r="F8" s="2">
        <v>837.19999999999982</v>
      </c>
      <c r="G8">
        <f t="shared" si="0"/>
        <v>0.13978494623655913</v>
      </c>
    </row>
    <row r="9" spans="1:7" x14ac:dyDescent="0.25">
      <c r="A9" s="6" t="s">
        <v>25</v>
      </c>
      <c r="B9" s="2">
        <v>4079.6000000000004</v>
      </c>
      <c r="C9">
        <v>1758</v>
      </c>
      <c r="D9">
        <v>1457</v>
      </c>
      <c r="E9">
        <v>301</v>
      </c>
      <c r="F9" s="2">
        <v>842.80000000000018</v>
      </c>
      <c r="G9">
        <f t="shared" si="0"/>
        <v>0.17121729237770195</v>
      </c>
    </row>
    <row r="10" spans="1:7" x14ac:dyDescent="0.25">
      <c r="A10" s="6" t="s">
        <v>30</v>
      </c>
      <c r="B10" s="2">
        <v>2614.3999999999996</v>
      </c>
      <c r="C10">
        <v>827</v>
      </c>
      <c r="D10">
        <v>688</v>
      </c>
      <c r="E10">
        <v>139</v>
      </c>
      <c r="F10" s="2">
        <v>528.19999999999993</v>
      </c>
      <c r="G10">
        <f t="shared" si="0"/>
        <v>0.16807738814993953</v>
      </c>
    </row>
    <row r="11" spans="1:7" x14ac:dyDescent="0.25">
      <c r="A11" s="6" t="s">
        <v>27</v>
      </c>
      <c r="B11" s="2">
        <v>4065.5999999999995</v>
      </c>
      <c r="C11">
        <v>1130</v>
      </c>
      <c r="D11">
        <v>968</v>
      </c>
      <c r="E11">
        <v>162</v>
      </c>
      <c r="F11" s="2">
        <v>680.39999999999986</v>
      </c>
      <c r="G11">
        <f t="shared" si="0"/>
        <v>0.14336283185840709</v>
      </c>
    </row>
    <row r="12" spans="1:7" x14ac:dyDescent="0.25">
      <c r="A12" s="6" t="s">
        <v>39</v>
      </c>
      <c r="B12" s="2">
        <v>3187.7999999999997</v>
      </c>
      <c r="C12">
        <v>1906</v>
      </c>
      <c r="D12">
        <v>1771</v>
      </c>
      <c r="E12">
        <v>135</v>
      </c>
      <c r="F12" s="2">
        <v>243.00000000000003</v>
      </c>
      <c r="G12">
        <f t="shared" si="0"/>
        <v>7.0828961175236099E-2</v>
      </c>
    </row>
    <row r="13" spans="1:7" x14ac:dyDescent="0.25">
      <c r="A13" s="6" t="s">
        <v>42</v>
      </c>
      <c r="B13" s="2">
        <v>3628.8</v>
      </c>
      <c r="C13">
        <v>905</v>
      </c>
      <c r="D13">
        <v>756</v>
      </c>
      <c r="E13">
        <v>149</v>
      </c>
      <c r="F13" s="2">
        <v>715.2</v>
      </c>
      <c r="G13">
        <f t="shared" si="0"/>
        <v>0.16464088397790055</v>
      </c>
    </row>
    <row r="14" spans="1:7" x14ac:dyDescent="0.25">
      <c r="A14" s="6" t="s">
        <v>34</v>
      </c>
      <c r="B14" s="2">
        <v>2891</v>
      </c>
      <c r="C14">
        <v>961</v>
      </c>
      <c r="D14">
        <v>826</v>
      </c>
      <c r="E14">
        <v>135</v>
      </c>
      <c r="F14" s="2">
        <v>472.5</v>
      </c>
      <c r="G14">
        <f t="shared" si="0"/>
        <v>0.1404786680541103</v>
      </c>
    </row>
    <row r="15" spans="1:7" x14ac:dyDescent="0.25">
      <c r="A15" s="6" t="s">
        <v>68</v>
      </c>
      <c r="B15" s="2">
        <v>51424.900000000009</v>
      </c>
      <c r="C15">
        <v>20181</v>
      </c>
      <c r="D15">
        <v>17467</v>
      </c>
      <c r="E15">
        <v>2714</v>
      </c>
      <c r="F15" s="2">
        <v>8368.5999999999985</v>
      </c>
      <c r="G15">
        <f t="shared" si="0"/>
        <v>0.1344829294881324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68EA-E7FE-4B9E-B9AF-13174A1546B5}">
  <dimension ref="A1:E15"/>
  <sheetViews>
    <sheetView workbookViewId="0">
      <selection activeCell="J9" sqref="J9"/>
    </sheetView>
  </sheetViews>
  <sheetFormatPr defaultRowHeight="15" x14ac:dyDescent="0.25"/>
  <cols>
    <col min="1" max="1" width="23" bestFit="1" customWidth="1"/>
    <col min="2" max="2" width="19.85546875" bestFit="1" customWidth="1"/>
    <col min="3" max="3" width="16.85546875" bestFit="1" customWidth="1"/>
    <col min="4" max="4" width="17.28515625" bestFit="1" customWidth="1"/>
    <col min="5" max="5" width="19" customWidth="1"/>
  </cols>
  <sheetData>
    <row r="1" spans="1:5" x14ac:dyDescent="0.25">
      <c r="A1" s="7" t="s">
        <v>91</v>
      </c>
      <c r="B1" s="7" t="s">
        <v>5</v>
      </c>
      <c r="C1" s="7" t="s">
        <v>10</v>
      </c>
      <c r="D1" s="7" t="s">
        <v>7</v>
      </c>
      <c r="E1" s="7" t="s">
        <v>13</v>
      </c>
    </row>
    <row r="2" spans="1:5" x14ac:dyDescent="0.25">
      <c r="A2" s="6" t="s">
        <v>25</v>
      </c>
      <c r="B2">
        <f>SUMIF(BakeryLog[Product],A2,BakeryLog[Units Produced])</f>
        <v>1758</v>
      </c>
      <c r="C2" s="2">
        <f>SUMIF(BakeryLog[Product],A2,BakeryLog[Waste Value])</f>
        <v>842.80000000000018</v>
      </c>
      <c r="D2">
        <f>SUMIF(BakeryLog[Product],A2,BakeryLog[Waste Units])</f>
        <v>301</v>
      </c>
      <c r="E2">
        <f>SUM(D2/B2)</f>
        <v>0.17121729237770195</v>
      </c>
    </row>
    <row r="3" spans="1:5" x14ac:dyDescent="0.25">
      <c r="A3" s="6" t="s">
        <v>40</v>
      </c>
      <c r="B3">
        <f>SUMIF(BakeryLog[Product],A3,BakeryLog[Units Produced])</f>
        <v>1302</v>
      </c>
      <c r="C3" s="2">
        <f>SUMIF(BakeryLog[Product],A3,BakeryLog[Waste Value])</f>
        <v>837.19999999999982</v>
      </c>
      <c r="D3">
        <f>SUMIF(BakeryLog[Product],A3,BakeryLog[Waste Units])</f>
        <v>182</v>
      </c>
      <c r="E3">
        <f t="shared" ref="E3:E15" si="0">SUM(D3/B3)</f>
        <v>0.13978494623655913</v>
      </c>
    </row>
    <row r="4" spans="1:5" x14ac:dyDescent="0.25">
      <c r="A4" s="6" t="s">
        <v>20</v>
      </c>
      <c r="B4">
        <f>SUMIF(BakeryLog[Product],A4,BakeryLog[Units Produced])</f>
        <v>2231</v>
      </c>
      <c r="C4" s="2">
        <f>SUMIF(BakeryLog[Product],A4,BakeryLog[Waste Value])</f>
        <v>787.5</v>
      </c>
      <c r="D4">
        <f>SUMIF(BakeryLog[Product],A4,BakeryLog[Waste Units])</f>
        <v>315</v>
      </c>
      <c r="E4">
        <f t="shared" si="0"/>
        <v>0.14119229045271178</v>
      </c>
    </row>
    <row r="5" spans="1:5" x14ac:dyDescent="0.25">
      <c r="A5" s="6" t="s">
        <v>26</v>
      </c>
      <c r="B5">
        <f>SUMIF(BakeryLog[Product],A5,BakeryLog[Units Produced])</f>
        <v>1395</v>
      </c>
      <c r="C5" s="2">
        <f>SUMIF(BakeryLog[Product],A5,BakeryLog[Waste Value])</f>
        <v>775.00000000000023</v>
      </c>
      <c r="D5">
        <f>SUMIF(BakeryLog[Product],A5,BakeryLog[Waste Units])</f>
        <v>250</v>
      </c>
      <c r="E5">
        <f t="shared" si="0"/>
        <v>0.17921146953405018</v>
      </c>
    </row>
    <row r="6" spans="1:5" x14ac:dyDescent="0.25">
      <c r="A6" s="6" t="s">
        <v>42</v>
      </c>
      <c r="B6">
        <f>SUMIF(BakeryLog[Product],A6,BakeryLog[Units Produced])</f>
        <v>905</v>
      </c>
      <c r="C6" s="2">
        <f>SUMIF(BakeryLog[Product],A6,BakeryLog[Waste Value])</f>
        <v>715.2</v>
      </c>
      <c r="D6">
        <f>SUMIF(BakeryLog[Product],A6,BakeryLog[Waste Units])</f>
        <v>149</v>
      </c>
      <c r="E6">
        <f t="shared" si="0"/>
        <v>0.16464088397790055</v>
      </c>
    </row>
    <row r="7" spans="1:5" x14ac:dyDescent="0.25">
      <c r="A7" s="6" t="s">
        <v>31</v>
      </c>
      <c r="B7">
        <f>SUMIF(BakeryLog[Product],A7,BakeryLog[Units Produced])</f>
        <v>1467</v>
      </c>
      <c r="C7" s="2">
        <f>SUMIF(BakeryLog[Product],A7,BakeryLog[Waste Value])</f>
        <v>684.4000000000002</v>
      </c>
      <c r="D7">
        <f>SUMIF(BakeryLog[Product],A7,BakeryLog[Waste Units])</f>
        <v>236</v>
      </c>
      <c r="E7">
        <f t="shared" si="0"/>
        <v>0.16087252897068849</v>
      </c>
    </row>
    <row r="8" spans="1:5" x14ac:dyDescent="0.25">
      <c r="A8" s="6" t="s">
        <v>27</v>
      </c>
      <c r="B8">
        <f>SUMIF(BakeryLog[Product],A8,BakeryLog[Units Produced])</f>
        <v>1130</v>
      </c>
      <c r="C8" s="2">
        <f>SUMIF(BakeryLog[Product],A8,BakeryLog[Waste Value])</f>
        <v>680.39999999999986</v>
      </c>
      <c r="D8">
        <f>SUMIF(BakeryLog[Product],A8,BakeryLog[Waste Units])</f>
        <v>162</v>
      </c>
      <c r="E8">
        <f t="shared" si="0"/>
        <v>0.14336283185840709</v>
      </c>
    </row>
    <row r="9" spans="1:5" x14ac:dyDescent="0.25">
      <c r="A9" s="6" t="s">
        <v>37</v>
      </c>
      <c r="B9">
        <f>SUMIF(BakeryLog[Product],A9,BakeryLog[Units Produced])</f>
        <v>3556</v>
      </c>
      <c r="C9" s="2">
        <f>SUMIF(BakeryLog[Product],A9,BakeryLog[Waste Value])</f>
        <v>655.20000000000005</v>
      </c>
      <c r="D9">
        <f>SUMIF(BakeryLog[Product],A9,BakeryLog[Waste Units])</f>
        <v>273</v>
      </c>
      <c r="E9">
        <f t="shared" si="0"/>
        <v>7.6771653543307089E-2</v>
      </c>
    </row>
    <row r="10" spans="1:5" x14ac:dyDescent="0.25">
      <c r="A10" s="6" t="s">
        <v>33</v>
      </c>
      <c r="B10">
        <f>SUMIF(BakeryLog[Product],A10,BakeryLog[Units Produced])</f>
        <v>1222</v>
      </c>
      <c r="C10" s="2">
        <f>SUMIF(BakeryLog[Product],A10,BakeryLog[Waste Value])</f>
        <v>609</v>
      </c>
      <c r="D10">
        <f>SUMIF(BakeryLog[Product],A10,BakeryLog[Waste Units])</f>
        <v>203</v>
      </c>
      <c r="E10">
        <f t="shared" si="0"/>
        <v>0.16612111292962356</v>
      </c>
    </row>
    <row r="11" spans="1:5" x14ac:dyDescent="0.25">
      <c r="A11" s="6" t="s">
        <v>29</v>
      </c>
      <c r="B11">
        <f>SUMIF(BakeryLog[Product],A11,BakeryLog[Units Produced])</f>
        <v>1521</v>
      </c>
      <c r="C11" s="2">
        <f>SUMIF(BakeryLog[Product],A11,BakeryLog[Waste Value])</f>
        <v>538.20000000000016</v>
      </c>
      <c r="D11">
        <f>SUMIF(BakeryLog[Product],A11,BakeryLog[Waste Units])</f>
        <v>234</v>
      </c>
      <c r="E11">
        <f t="shared" si="0"/>
        <v>0.15384615384615385</v>
      </c>
    </row>
    <row r="12" spans="1:5" x14ac:dyDescent="0.25">
      <c r="A12" s="6" t="s">
        <v>30</v>
      </c>
      <c r="B12">
        <f>SUMIF(BakeryLog[Product],A12,BakeryLog[Units Produced])</f>
        <v>827</v>
      </c>
      <c r="C12" s="2">
        <f>SUMIF(BakeryLog[Product],A12,BakeryLog[Waste Value])</f>
        <v>528.19999999999993</v>
      </c>
      <c r="D12">
        <f>SUMIF(BakeryLog[Product],A12,BakeryLog[Waste Units])</f>
        <v>139</v>
      </c>
      <c r="E12">
        <f t="shared" si="0"/>
        <v>0.16807738814993953</v>
      </c>
    </row>
    <row r="13" spans="1:5" x14ac:dyDescent="0.25">
      <c r="A13" s="6" t="s">
        <v>34</v>
      </c>
      <c r="B13">
        <f>SUMIF(BakeryLog[Product],A13,BakeryLog[Units Produced])</f>
        <v>961</v>
      </c>
      <c r="C13" s="2">
        <f>SUMIF(BakeryLog[Product],A13,BakeryLog[Waste Value])</f>
        <v>472.5</v>
      </c>
      <c r="D13">
        <f>SUMIF(BakeryLog[Product],A13,BakeryLog[Waste Units])</f>
        <v>135</v>
      </c>
      <c r="E13">
        <f t="shared" si="0"/>
        <v>0.1404786680541103</v>
      </c>
    </row>
    <row r="14" spans="1:5" x14ac:dyDescent="0.25">
      <c r="A14" s="6" t="s">
        <v>39</v>
      </c>
      <c r="B14">
        <f>SUMIF(BakeryLog[Product],A14,BakeryLog[Units Produced])</f>
        <v>1906</v>
      </c>
      <c r="C14" s="2">
        <f>SUMIF(BakeryLog[Product],A14,BakeryLog[Waste Value])</f>
        <v>243.00000000000003</v>
      </c>
      <c r="D14">
        <f>SUMIF(BakeryLog[Product],A14,BakeryLog[Waste Units])</f>
        <v>135</v>
      </c>
      <c r="E14">
        <f t="shared" si="0"/>
        <v>7.0828961175236099E-2</v>
      </c>
    </row>
    <row r="15" spans="1:5" x14ac:dyDescent="0.25">
      <c r="A15" s="7" t="s">
        <v>92</v>
      </c>
      <c r="B15">
        <f>SUM(B2:B14)</f>
        <v>20181</v>
      </c>
      <c r="C15" s="2">
        <f t="shared" ref="C15:D15" si="1">SUM(C2:C14)</f>
        <v>8368.6</v>
      </c>
      <c r="D15">
        <f t="shared" si="1"/>
        <v>2714</v>
      </c>
      <c r="E15">
        <f t="shared" si="0"/>
        <v>0.1344829294881324</v>
      </c>
    </row>
  </sheetData>
  <sortState xmlns:xlrd2="http://schemas.microsoft.com/office/spreadsheetml/2017/richdata2" columnSort="1" ref="A2:E14">
    <sortCondition descending="1" ref="A4:E4"/>
  </sortState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B7DA-417F-4E10-9AF5-4484C093580E}">
  <dimension ref="A1:D6"/>
  <sheetViews>
    <sheetView workbookViewId="0">
      <selection activeCell="E24" sqref="E24"/>
    </sheetView>
  </sheetViews>
  <sheetFormatPr defaultRowHeight="15" x14ac:dyDescent="0.25"/>
  <cols>
    <col min="1" max="1" width="11.28515625" customWidth="1"/>
    <col min="2" max="2" width="11.85546875" customWidth="1"/>
    <col min="3" max="3" width="22.140625" customWidth="1"/>
    <col min="4" max="4" width="24.140625" customWidth="1"/>
  </cols>
  <sheetData>
    <row r="1" spans="1:4" ht="15.75" customHeight="1" x14ac:dyDescent="0.25">
      <c r="A1" s="7" t="s">
        <v>93</v>
      </c>
      <c r="B1" s="7" t="s">
        <v>9</v>
      </c>
      <c r="C1" s="7" t="s">
        <v>11</v>
      </c>
      <c r="D1" s="10" t="s">
        <v>12</v>
      </c>
    </row>
    <row r="2" spans="1:4" x14ac:dyDescent="0.25">
      <c r="A2" t="s">
        <v>17</v>
      </c>
      <c r="B2" s="2">
        <f>SUMIF(BakeryLog[Week], A2, BakeryLog[Revenue])</f>
        <v>14453.400000000005</v>
      </c>
      <c r="C2">
        <f>SUMIF(BakeryLog[Week], A2, BakeryLog[Staff Hours Allocated])</f>
        <v>278.76000000000005</v>
      </c>
      <c r="D2" s="2">
        <f>SUM(B2/C2)</f>
        <v>51.84890228153251</v>
      </c>
    </row>
    <row r="3" spans="1:4" x14ac:dyDescent="0.25">
      <c r="A3" t="s">
        <v>51</v>
      </c>
      <c r="B3" s="2">
        <f>SUMIF(BakeryLog[Week], A3, BakeryLog[Revenue])</f>
        <v>14725.499999999996</v>
      </c>
      <c r="C3">
        <f>SUMIF(BakeryLog[Week], A3, BakeryLog[Staff Hours Allocated])</f>
        <v>282.56000000000006</v>
      </c>
      <c r="D3" s="2">
        <f t="shared" ref="D3:D6" si="0">SUM(B3/C3)</f>
        <v>52.114595130237802</v>
      </c>
    </row>
    <row r="4" spans="1:4" x14ac:dyDescent="0.25">
      <c r="A4" t="s">
        <v>53</v>
      </c>
      <c r="B4" s="2">
        <f>SUMIF(BakeryLog[Week], A4, BakeryLog[Revenue])</f>
        <v>14276.9</v>
      </c>
      <c r="C4">
        <f>SUMIF(BakeryLog[Week], A4, BakeryLog[Staff Hours Allocated])</f>
        <v>278.62000000000006</v>
      </c>
      <c r="D4" s="2">
        <f t="shared" si="0"/>
        <v>51.241475845237225</v>
      </c>
    </row>
    <row r="5" spans="1:4" x14ac:dyDescent="0.25">
      <c r="A5" t="s">
        <v>54</v>
      </c>
      <c r="B5" s="2">
        <f>SUMIF(BakeryLog[Week], A5, BakeryLog[Revenue])</f>
        <v>7969.0999999999985</v>
      </c>
      <c r="C5">
        <f>SUMIF(BakeryLog[Week], A5, BakeryLog[Staff Hours Allocated])</f>
        <v>154.78</v>
      </c>
      <c r="D5" s="2">
        <f t="shared" si="0"/>
        <v>51.486626179092895</v>
      </c>
    </row>
    <row r="6" spans="1:4" x14ac:dyDescent="0.25">
      <c r="A6" s="7" t="s">
        <v>92</v>
      </c>
      <c r="B6" s="2">
        <f>SUM(B2:B5)</f>
        <v>51424.9</v>
      </c>
      <c r="C6">
        <f>SUM(C2:C5)</f>
        <v>994.72000000000025</v>
      </c>
      <c r="D6" s="2">
        <f t="shared" si="0"/>
        <v>51.697864725751955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F6A9-1639-4475-99DE-19E6DD997654}">
  <dimension ref="A1:C9"/>
  <sheetViews>
    <sheetView workbookViewId="0">
      <selection activeCell="B15" sqref="B15"/>
    </sheetView>
  </sheetViews>
  <sheetFormatPr defaultRowHeight="15" x14ac:dyDescent="0.25"/>
  <cols>
    <col min="1" max="1" width="50.42578125" customWidth="1"/>
    <col min="2" max="2" width="72.85546875" customWidth="1"/>
    <col min="3" max="3" width="67" customWidth="1"/>
  </cols>
  <sheetData>
    <row r="1" spans="1:3" x14ac:dyDescent="0.25">
      <c r="A1" s="10" t="s">
        <v>94</v>
      </c>
      <c r="B1" s="10" t="s">
        <v>95</v>
      </c>
      <c r="C1" s="10" t="s">
        <v>96</v>
      </c>
    </row>
    <row r="2" spans="1:3" ht="30" x14ac:dyDescent="0.25">
      <c r="A2" s="11" t="s">
        <v>97</v>
      </c>
      <c r="B2" s="11" t="s">
        <v>98</v>
      </c>
      <c r="C2" s="11" t="s">
        <v>99</v>
      </c>
    </row>
    <row r="3" spans="1:3" x14ac:dyDescent="0.25">
      <c r="A3" s="11" t="s">
        <v>100</v>
      </c>
      <c r="B3" s="11" t="s">
        <v>101</v>
      </c>
      <c r="C3" s="11" t="s">
        <v>102</v>
      </c>
    </row>
    <row r="4" spans="1:3" x14ac:dyDescent="0.25">
      <c r="A4" s="11" t="s">
        <v>103</v>
      </c>
      <c r="B4" s="11" t="s">
        <v>104</v>
      </c>
      <c r="C4" s="11" t="s">
        <v>105</v>
      </c>
    </row>
    <row r="5" spans="1:3" x14ac:dyDescent="0.25">
      <c r="A5" s="11" t="s">
        <v>106</v>
      </c>
      <c r="B5" s="11" t="s">
        <v>107</v>
      </c>
      <c r="C5" s="11" t="s">
        <v>108</v>
      </c>
    </row>
    <row r="6" spans="1:3" x14ac:dyDescent="0.25">
      <c r="A6" s="11" t="s">
        <v>109</v>
      </c>
      <c r="B6" s="11" t="s">
        <v>110</v>
      </c>
      <c r="C6" s="11" t="s">
        <v>111</v>
      </c>
    </row>
    <row r="7" spans="1:3" x14ac:dyDescent="0.25">
      <c r="A7" s="11" t="s">
        <v>112</v>
      </c>
      <c r="B7" s="11" t="s">
        <v>113</v>
      </c>
      <c r="C7" s="11" t="s">
        <v>114</v>
      </c>
    </row>
    <row r="8" spans="1:3" x14ac:dyDescent="0.25">
      <c r="A8" s="11" t="s">
        <v>115</v>
      </c>
      <c r="B8" s="11" t="s">
        <v>116</v>
      </c>
      <c r="C8" s="11" t="s">
        <v>117</v>
      </c>
    </row>
    <row r="9" spans="1:3" x14ac:dyDescent="0.25">
      <c r="A9" s="11"/>
      <c r="B9" s="11"/>
      <c r="C9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B1EB8-AC1B-47C9-8063-619A698A0669}">
  <dimension ref="A1:B6"/>
  <sheetViews>
    <sheetView workbookViewId="0">
      <selection activeCell="B9" sqref="B9"/>
    </sheetView>
  </sheetViews>
  <sheetFormatPr defaultRowHeight="15" x14ac:dyDescent="0.25"/>
  <cols>
    <col min="1" max="1" width="30.140625" customWidth="1"/>
    <col min="2" max="2" width="116.140625" customWidth="1"/>
  </cols>
  <sheetData>
    <row r="1" spans="1:2" x14ac:dyDescent="0.25">
      <c r="A1" t="s">
        <v>79</v>
      </c>
      <c r="B1" t="s">
        <v>85</v>
      </c>
    </row>
    <row r="2" spans="1:2" x14ac:dyDescent="0.25">
      <c r="A2" t="s">
        <v>80</v>
      </c>
      <c r="B2" t="s">
        <v>86</v>
      </c>
    </row>
    <row r="3" spans="1:2" ht="15" customHeight="1" x14ac:dyDescent="0.25">
      <c r="A3" t="s">
        <v>81</v>
      </c>
      <c r="B3" s="9" t="s">
        <v>87</v>
      </c>
    </row>
    <row r="4" spans="1:2" ht="18" customHeight="1" x14ac:dyDescent="0.25">
      <c r="A4" t="s">
        <v>82</v>
      </c>
      <c r="B4" s="9" t="s">
        <v>88</v>
      </c>
    </row>
    <row r="5" spans="1:2" x14ac:dyDescent="0.25">
      <c r="A5" t="s">
        <v>83</v>
      </c>
      <c r="B5" t="s">
        <v>89</v>
      </c>
    </row>
    <row r="6" spans="1:2" x14ac:dyDescent="0.25">
      <c r="A6" t="s">
        <v>84</v>
      </c>
      <c r="B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Logbook</vt:lpstr>
      <vt:lpstr>KPI Summary</vt:lpstr>
      <vt:lpstr>Pivot Tables</vt:lpstr>
      <vt:lpstr>Charts</vt:lpstr>
      <vt:lpstr>Product Analysis</vt:lpstr>
      <vt:lpstr>Waste Analysis</vt:lpstr>
      <vt:lpstr>Revenue Analysis</vt:lpstr>
      <vt:lpstr>Action Summary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holtzhausen</dc:creator>
  <cp:lastModifiedBy>bruce holtzhausen</cp:lastModifiedBy>
  <dcterms:created xsi:type="dcterms:W3CDTF">2026-05-25T17:48:59Z</dcterms:created>
  <dcterms:modified xsi:type="dcterms:W3CDTF">2026-06-12T06:57:55Z</dcterms:modified>
</cp:coreProperties>
</file>